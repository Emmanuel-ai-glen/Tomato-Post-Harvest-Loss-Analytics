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esktop\Tomato_loss_project\2clean_data\"/>
    </mc:Choice>
  </mc:AlternateContent>
  <xr:revisionPtr revIDLastSave="0" documentId="13_ncr:1_{5E581D2F-13E5-41F4-8A29-BFC62B285A4D}" xr6:coauthVersionLast="47" xr6:coauthVersionMax="47" xr10:uidLastSave="{00000000-0000-0000-0000-000000000000}"/>
  <bookViews>
    <workbookView xWindow="-120" yWindow="-120" windowWidth="20730" windowHeight="11160" activeTab="1" xr2:uid="{00000000-000D-0000-FFFF-FFFF00000000}"/>
  </bookViews>
  <sheets>
    <sheet name="Patter_Analysis" sheetId="7" r:id="rId1"/>
    <sheet name="Dashboard" sheetId="8" r:id="rId2"/>
    <sheet name="Clean_Data" sheetId="6" r:id="rId3"/>
    <sheet name="EDA_Statistics" sheetId="4" r:id="rId4"/>
    <sheet name="Raw_Data" sheetId="1" r:id="rId5"/>
    <sheet name="Data_profiling" sheetId="3" r:id="rId6"/>
    <sheet name="Read_Me" sheetId="2" r:id="rId7"/>
  </sheets>
  <definedNames>
    <definedName name="_xlnm._FilterDatabase" localSheetId="2" hidden="1">Clean_Data!$A$1:$M$151</definedName>
    <definedName name="Slicer_Distance_category">#N/A</definedName>
    <definedName name="Slicer_Storage_method">#N/A</definedName>
    <definedName name="Slicer_Transpor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9" i="6" l="1"/>
  <c r="E89" i="6" s="1"/>
  <c r="K89" i="6"/>
  <c r="L89" i="6"/>
  <c r="N89"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2" i="6"/>
  <c r="D3" i="6"/>
  <c r="E3" i="6" s="1"/>
  <c r="D4" i="6"/>
  <c r="E4" i="6" s="1"/>
  <c r="D5" i="6"/>
  <c r="E5" i="6" s="1"/>
  <c r="D6" i="6"/>
  <c r="E6" i="6" s="1"/>
  <c r="D7" i="6"/>
  <c r="E7" i="6" s="1"/>
  <c r="D8" i="6"/>
  <c r="E8" i="6" s="1"/>
  <c r="D9" i="6"/>
  <c r="E9" i="6" s="1"/>
  <c r="D10" i="6"/>
  <c r="E10" i="6" s="1"/>
  <c r="D11" i="6"/>
  <c r="E11" i="6" s="1"/>
  <c r="D12" i="6"/>
  <c r="E12" i="6" s="1"/>
  <c r="D13" i="6"/>
  <c r="E13" i="6" s="1"/>
  <c r="D14" i="6"/>
  <c r="E14" i="6" s="1"/>
  <c r="D15" i="6"/>
  <c r="E15" i="6" s="1"/>
  <c r="D16" i="6"/>
  <c r="E16" i="6" s="1"/>
  <c r="D17" i="6"/>
  <c r="E17" i="6" s="1"/>
  <c r="D18" i="6"/>
  <c r="E18" i="6" s="1"/>
  <c r="D19" i="6"/>
  <c r="E19" i="6" s="1"/>
  <c r="D20" i="6"/>
  <c r="E20" i="6" s="1"/>
  <c r="D21" i="6"/>
  <c r="E21" i="6" s="1"/>
  <c r="D22" i="6"/>
  <c r="E22" i="6" s="1"/>
  <c r="D23" i="6"/>
  <c r="E23" i="6" s="1"/>
  <c r="D24" i="6"/>
  <c r="E24" i="6" s="1"/>
  <c r="D25" i="6"/>
  <c r="E25" i="6" s="1"/>
  <c r="D26" i="6"/>
  <c r="E26" i="6" s="1"/>
  <c r="D27" i="6"/>
  <c r="E27" i="6" s="1"/>
  <c r="D28" i="6"/>
  <c r="E28" i="6" s="1"/>
  <c r="D29" i="6"/>
  <c r="E29" i="6" s="1"/>
  <c r="D30" i="6"/>
  <c r="E30" i="6" s="1"/>
  <c r="D31" i="6"/>
  <c r="E31" i="6" s="1"/>
  <c r="D32" i="6"/>
  <c r="E32" i="6" s="1"/>
  <c r="D33" i="6"/>
  <c r="E33" i="6" s="1"/>
  <c r="D34" i="6"/>
  <c r="E34" i="6" s="1"/>
  <c r="D35" i="6"/>
  <c r="E35" i="6" s="1"/>
  <c r="D36" i="6"/>
  <c r="E36" i="6" s="1"/>
  <c r="D37" i="6"/>
  <c r="E37" i="6" s="1"/>
  <c r="D38" i="6"/>
  <c r="E38" i="6" s="1"/>
  <c r="D39" i="6"/>
  <c r="E39" i="6" s="1"/>
  <c r="D40" i="6"/>
  <c r="E40" i="6" s="1"/>
  <c r="D41" i="6"/>
  <c r="E41" i="6" s="1"/>
  <c r="D42" i="6"/>
  <c r="E42" i="6" s="1"/>
  <c r="D43" i="6"/>
  <c r="E43" i="6" s="1"/>
  <c r="D44" i="6"/>
  <c r="E44" i="6" s="1"/>
  <c r="D45" i="6"/>
  <c r="E45" i="6" s="1"/>
  <c r="D46" i="6"/>
  <c r="E46" i="6" s="1"/>
  <c r="D47" i="6"/>
  <c r="E47" i="6" s="1"/>
  <c r="D48" i="6"/>
  <c r="E48" i="6" s="1"/>
  <c r="D49" i="6"/>
  <c r="E49" i="6" s="1"/>
  <c r="D50" i="6"/>
  <c r="E50" i="6" s="1"/>
  <c r="D51" i="6"/>
  <c r="E51" i="6" s="1"/>
  <c r="D52" i="6"/>
  <c r="E52" i="6" s="1"/>
  <c r="D53" i="6"/>
  <c r="E53" i="6" s="1"/>
  <c r="D54" i="6"/>
  <c r="E54" i="6" s="1"/>
  <c r="D55" i="6"/>
  <c r="E55" i="6" s="1"/>
  <c r="D56" i="6"/>
  <c r="E56" i="6" s="1"/>
  <c r="D57" i="6"/>
  <c r="E57" i="6" s="1"/>
  <c r="D58" i="6"/>
  <c r="E58" i="6" s="1"/>
  <c r="D59" i="6"/>
  <c r="E59" i="6" s="1"/>
  <c r="D60" i="6"/>
  <c r="E60" i="6" s="1"/>
  <c r="D61" i="6"/>
  <c r="E61" i="6" s="1"/>
  <c r="D62" i="6"/>
  <c r="E62" i="6" s="1"/>
  <c r="D63" i="6"/>
  <c r="E63" i="6" s="1"/>
  <c r="D64" i="6"/>
  <c r="E64" i="6" s="1"/>
  <c r="D65" i="6"/>
  <c r="E65" i="6" s="1"/>
  <c r="D66" i="6"/>
  <c r="E66" i="6" s="1"/>
  <c r="D67" i="6"/>
  <c r="E67" i="6" s="1"/>
  <c r="D68" i="6"/>
  <c r="E68" i="6" s="1"/>
  <c r="D69" i="6"/>
  <c r="E69" i="6" s="1"/>
  <c r="D70" i="6"/>
  <c r="E70" i="6" s="1"/>
  <c r="D71" i="6"/>
  <c r="E71" i="6" s="1"/>
  <c r="D72" i="6"/>
  <c r="E72" i="6" s="1"/>
  <c r="D73" i="6"/>
  <c r="E73" i="6" s="1"/>
  <c r="D74" i="6"/>
  <c r="E74" i="6" s="1"/>
  <c r="D75" i="6"/>
  <c r="E75" i="6" s="1"/>
  <c r="D76" i="6"/>
  <c r="E76" i="6" s="1"/>
  <c r="D77" i="6"/>
  <c r="E77" i="6" s="1"/>
  <c r="D78" i="6"/>
  <c r="E78" i="6" s="1"/>
  <c r="D79" i="6"/>
  <c r="E79" i="6" s="1"/>
  <c r="D80" i="6"/>
  <c r="E80" i="6" s="1"/>
  <c r="D81" i="6"/>
  <c r="E81" i="6" s="1"/>
  <c r="D82" i="6"/>
  <c r="E82" i="6" s="1"/>
  <c r="D83" i="6"/>
  <c r="E83" i="6" s="1"/>
  <c r="D84" i="6"/>
  <c r="E84" i="6" s="1"/>
  <c r="D85" i="6"/>
  <c r="E85" i="6" s="1"/>
  <c r="D86" i="6"/>
  <c r="E86" i="6" s="1"/>
  <c r="D87" i="6"/>
  <c r="E87" i="6" s="1"/>
  <c r="D88" i="6"/>
  <c r="E88" i="6" s="1"/>
  <c r="D90" i="6"/>
  <c r="E90" i="6" s="1"/>
  <c r="D91" i="6"/>
  <c r="E91" i="6" s="1"/>
  <c r="D92" i="6"/>
  <c r="E92" i="6" s="1"/>
  <c r="D93" i="6"/>
  <c r="E93" i="6" s="1"/>
  <c r="D94" i="6"/>
  <c r="E94" i="6" s="1"/>
  <c r="D95" i="6"/>
  <c r="E95" i="6" s="1"/>
  <c r="D96" i="6"/>
  <c r="E96" i="6" s="1"/>
  <c r="D97" i="6"/>
  <c r="E97" i="6" s="1"/>
  <c r="D98" i="6"/>
  <c r="E98" i="6" s="1"/>
  <c r="D99" i="6"/>
  <c r="E99" i="6" s="1"/>
  <c r="D100" i="6"/>
  <c r="E100" i="6" s="1"/>
  <c r="D101" i="6"/>
  <c r="E101" i="6" s="1"/>
  <c r="D102" i="6"/>
  <c r="E102" i="6" s="1"/>
  <c r="D103" i="6"/>
  <c r="E103" i="6" s="1"/>
  <c r="D104" i="6"/>
  <c r="E104" i="6" s="1"/>
  <c r="D105" i="6"/>
  <c r="E105" i="6" s="1"/>
  <c r="D106" i="6"/>
  <c r="E106" i="6" s="1"/>
  <c r="D107" i="6"/>
  <c r="E107" i="6" s="1"/>
  <c r="D108" i="6"/>
  <c r="E108" i="6" s="1"/>
  <c r="D109" i="6"/>
  <c r="E109" i="6" s="1"/>
  <c r="D110" i="6"/>
  <c r="E110" i="6" s="1"/>
  <c r="D111" i="6"/>
  <c r="E111" i="6" s="1"/>
  <c r="D112" i="6"/>
  <c r="E112" i="6" s="1"/>
  <c r="D113" i="6"/>
  <c r="E113" i="6" s="1"/>
  <c r="D114" i="6"/>
  <c r="E114" i="6" s="1"/>
  <c r="D115" i="6"/>
  <c r="E115" i="6" s="1"/>
  <c r="D116" i="6"/>
  <c r="E116" i="6" s="1"/>
  <c r="D117" i="6"/>
  <c r="E117" i="6" s="1"/>
  <c r="D118" i="6"/>
  <c r="E118" i="6" s="1"/>
  <c r="D119" i="6"/>
  <c r="E119" i="6" s="1"/>
  <c r="D120" i="6"/>
  <c r="E120" i="6" s="1"/>
  <c r="D121" i="6"/>
  <c r="E121" i="6" s="1"/>
  <c r="D122" i="6"/>
  <c r="E122" i="6" s="1"/>
  <c r="D123" i="6"/>
  <c r="E123" i="6" s="1"/>
  <c r="D124" i="6"/>
  <c r="E124" i="6" s="1"/>
  <c r="D125" i="6"/>
  <c r="E125" i="6" s="1"/>
  <c r="D126" i="6"/>
  <c r="E126" i="6" s="1"/>
  <c r="D127" i="6"/>
  <c r="E127" i="6" s="1"/>
  <c r="D128" i="6"/>
  <c r="E128" i="6" s="1"/>
  <c r="D129" i="6"/>
  <c r="E129" i="6" s="1"/>
  <c r="D130" i="6"/>
  <c r="E130" i="6" s="1"/>
  <c r="D131" i="6"/>
  <c r="E131" i="6" s="1"/>
  <c r="D132" i="6"/>
  <c r="E132" i="6" s="1"/>
  <c r="D133" i="6"/>
  <c r="E133" i="6" s="1"/>
  <c r="D134" i="6"/>
  <c r="E134" i="6" s="1"/>
  <c r="D135" i="6"/>
  <c r="E135" i="6" s="1"/>
  <c r="D136" i="6"/>
  <c r="E136" i="6" s="1"/>
  <c r="D137" i="6"/>
  <c r="E137" i="6" s="1"/>
  <c r="D138" i="6"/>
  <c r="E138" i="6" s="1"/>
  <c r="D139" i="6"/>
  <c r="E139" i="6" s="1"/>
  <c r="D140" i="6"/>
  <c r="E140" i="6" s="1"/>
  <c r="D141" i="6"/>
  <c r="E141" i="6" s="1"/>
  <c r="D142" i="6"/>
  <c r="E142" i="6" s="1"/>
  <c r="D143" i="6"/>
  <c r="E143" i="6" s="1"/>
  <c r="D144" i="6"/>
  <c r="E144" i="6" s="1"/>
  <c r="D145" i="6"/>
  <c r="E145" i="6" s="1"/>
  <c r="D146" i="6"/>
  <c r="E146" i="6" s="1"/>
  <c r="D147" i="6"/>
  <c r="E147" i="6" s="1"/>
  <c r="D148" i="6"/>
  <c r="E148" i="6" s="1"/>
  <c r="D149" i="6"/>
  <c r="E149" i="6" s="1"/>
  <c r="D150" i="6"/>
  <c r="E150" i="6" s="1"/>
  <c r="D151" i="6"/>
  <c r="E151" i="6" s="1"/>
  <c r="D2" i="6"/>
  <c r="E2" i="6" s="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2" i="1"/>
  <c r="G10" i="4"/>
  <c r="F10" i="4"/>
  <c r="E10" i="4"/>
  <c r="D10" i="4"/>
  <c r="C10" i="4"/>
  <c r="B10" i="4"/>
  <c r="G9" i="4"/>
  <c r="F9" i="4"/>
  <c r="E9" i="4"/>
  <c r="D9" i="4"/>
  <c r="C9" i="4"/>
  <c r="B9" i="4"/>
  <c r="G4" i="4"/>
  <c r="F4" i="4"/>
  <c r="G3" i="4"/>
  <c r="F3" i="4"/>
  <c r="G2" i="4"/>
  <c r="F2" i="4"/>
  <c r="E2" i="4"/>
  <c r="D2" i="4"/>
  <c r="E3" i="4"/>
  <c r="D3" i="4"/>
  <c r="E4" i="4"/>
  <c r="D4" i="4"/>
  <c r="G5" i="4"/>
  <c r="F5" i="4"/>
  <c r="E5" i="4"/>
  <c r="D5" i="4"/>
  <c r="G6" i="4"/>
  <c r="F6" i="4"/>
  <c r="E6" i="4"/>
  <c r="D6" i="4"/>
  <c r="G7" i="4"/>
  <c r="F7" i="4"/>
  <c r="E7" i="4"/>
  <c r="D7" i="4"/>
  <c r="G8" i="4"/>
  <c r="F8" i="4"/>
  <c r="E8" i="4"/>
  <c r="D8" i="4"/>
  <c r="C8" i="4"/>
  <c r="B8" i="4"/>
  <c r="C7" i="4"/>
  <c r="C6" i="4"/>
  <c r="C5" i="4"/>
  <c r="C4" i="4"/>
  <c r="C3" i="4"/>
  <c r="B2" i="4"/>
  <c r="B7" i="4"/>
  <c r="B6" i="4"/>
  <c r="B5" i="4"/>
  <c r="B4" i="4"/>
  <c r="B3" i="4"/>
  <c r="C2" i="4"/>
  <c r="F7" i="3"/>
  <c r="F6" i="3"/>
  <c r="F5" i="3"/>
  <c r="F4" i="3"/>
  <c r="F3" i="3"/>
  <c r="F2" i="3"/>
  <c r="B9" i="3"/>
  <c r="B8" i="3"/>
  <c r="B7" i="3"/>
  <c r="B3" i="3"/>
  <c r="B4" i="3"/>
  <c r="B6" i="3"/>
  <c r="B5" i="3"/>
  <c r="B2" i="3"/>
  <c r="C11" i="4" l="1"/>
  <c r="C13" i="4" s="1"/>
  <c r="G11" i="4"/>
  <c r="G13" i="4" s="1"/>
  <c r="D11" i="4"/>
  <c r="D13" i="4" s="1"/>
  <c r="E11" i="4"/>
  <c r="E12" i="4" s="1"/>
  <c r="G4" i="3"/>
  <c r="B11" i="4"/>
  <c r="B13" i="4" s="1"/>
  <c r="F11" i="4"/>
  <c r="F12" i="4" s="1"/>
  <c r="G3" i="3"/>
  <c r="G5" i="3"/>
  <c r="G2" i="3"/>
  <c r="G6" i="3"/>
  <c r="G7" i="3"/>
  <c r="G12" i="4" l="1"/>
  <c r="E13" i="4"/>
  <c r="B12" i="4"/>
  <c r="C12" i="4"/>
  <c r="D12" i="4"/>
  <c r="F13" i="4"/>
  <c r="H5" i="4"/>
  <c r="H2" i="4"/>
  <c r="H4" i="4"/>
</calcChain>
</file>

<file path=xl/sharedStrings.xml><?xml version="1.0" encoding="utf-8"?>
<sst xmlns="http://schemas.openxmlformats.org/spreadsheetml/2006/main" count="1049" uniqueCount="306">
  <si>
    <t>Farmer_ID</t>
  </si>
  <si>
    <t>Harvest_kg</t>
  </si>
  <si>
    <t>Quantity_Lost_kg</t>
  </si>
  <si>
    <t>Quantity_Sold_kg</t>
  </si>
  <si>
    <t>Storage_Method</t>
  </si>
  <si>
    <t>Transport_Method</t>
  </si>
  <si>
    <t>Distance_to_Market_km</t>
  </si>
  <si>
    <t>Days_Before_Sale</t>
  </si>
  <si>
    <t>Selling_Price_TZS_per_kg</t>
  </si>
  <si>
    <t>F074</t>
  </si>
  <si>
    <t>improved</t>
  </si>
  <si>
    <t>Truck</t>
  </si>
  <si>
    <t>F019</t>
  </si>
  <si>
    <t>NONE</t>
  </si>
  <si>
    <t>Other</t>
  </si>
  <si>
    <t>F119</t>
  </si>
  <si>
    <t>Traditional</t>
  </si>
  <si>
    <t>MOTORCYCLE</t>
  </si>
  <si>
    <t>F079</t>
  </si>
  <si>
    <t xml:space="preserve">Improved  </t>
  </si>
  <si>
    <t>Pick up</t>
  </si>
  <si>
    <t>F077</t>
  </si>
  <si>
    <t>Motorcycle</t>
  </si>
  <si>
    <t>F032</t>
  </si>
  <si>
    <t>-5 km</t>
  </si>
  <si>
    <t>F065</t>
  </si>
  <si>
    <t>None</t>
  </si>
  <si>
    <t>OTHER</t>
  </si>
  <si>
    <t>F142</t>
  </si>
  <si>
    <t>Bicycle</t>
  </si>
  <si>
    <t>F069</t>
  </si>
  <si>
    <t>60 kg</t>
  </si>
  <si>
    <t>Motor cycle</t>
  </si>
  <si>
    <t>TZS 1,305</t>
  </si>
  <si>
    <t>F083</t>
  </si>
  <si>
    <t>Improved</t>
  </si>
  <si>
    <t>F111</t>
  </si>
  <si>
    <t>191 kg</t>
  </si>
  <si>
    <t>F013</t>
  </si>
  <si>
    <t>Pickup</t>
  </si>
  <si>
    <t>F037</t>
  </si>
  <si>
    <t>No storage</t>
  </si>
  <si>
    <t>truck</t>
  </si>
  <si>
    <t>F010</t>
  </si>
  <si>
    <t>F020</t>
  </si>
  <si>
    <t>TZS 771</t>
  </si>
  <si>
    <t>F057</t>
  </si>
  <si>
    <t>F105</t>
  </si>
  <si>
    <t>F070</t>
  </si>
  <si>
    <t>F056</t>
  </si>
  <si>
    <t>TZS 1,166</t>
  </si>
  <si>
    <t>F133</t>
  </si>
  <si>
    <t>F030</t>
  </si>
  <si>
    <t>F128</t>
  </si>
  <si>
    <t>403 kg</t>
  </si>
  <si>
    <t>F027</t>
  </si>
  <si>
    <t>F129</t>
  </si>
  <si>
    <t>581 kg</t>
  </si>
  <si>
    <t>F132</t>
  </si>
  <si>
    <t>Pick-up</t>
  </si>
  <si>
    <t>F146</t>
  </si>
  <si>
    <t>F109</t>
  </si>
  <si>
    <t>F144</t>
  </si>
  <si>
    <t>609 kg</t>
  </si>
  <si>
    <t>Traditional storage</t>
  </si>
  <si>
    <t>F046</t>
  </si>
  <si>
    <t>F031</t>
  </si>
  <si>
    <t>F023</t>
  </si>
  <si>
    <t>TZS 1,476</t>
  </si>
  <si>
    <t>F016</t>
  </si>
  <si>
    <t>F066</t>
  </si>
  <si>
    <t>F012</t>
  </si>
  <si>
    <t>F043</t>
  </si>
  <si>
    <t>F147</t>
  </si>
  <si>
    <t>F052</t>
  </si>
  <si>
    <t>TZS 1,115</t>
  </si>
  <si>
    <t>F028</t>
  </si>
  <si>
    <t>F005</t>
  </si>
  <si>
    <t>TZS 1,720</t>
  </si>
  <si>
    <t>F033</t>
  </si>
  <si>
    <t>F143</t>
  </si>
  <si>
    <t>23 kg</t>
  </si>
  <si>
    <t>F086</t>
  </si>
  <si>
    <t>F087</t>
  </si>
  <si>
    <t>8.9 km</t>
  </si>
  <si>
    <t>F017</t>
  </si>
  <si>
    <t>Bike</t>
  </si>
  <si>
    <t>F011</t>
  </si>
  <si>
    <t>F082</t>
  </si>
  <si>
    <t>Boda boda</t>
  </si>
  <si>
    <t>F134</t>
  </si>
  <si>
    <t>F138</t>
  </si>
  <si>
    <t>F076</t>
  </si>
  <si>
    <t>TZS 1,342</t>
  </si>
  <si>
    <t>F110</t>
  </si>
  <si>
    <t>pickup</t>
  </si>
  <si>
    <t>F097</t>
  </si>
  <si>
    <t>F106</t>
  </si>
  <si>
    <t>F067</t>
  </si>
  <si>
    <t>Improved storage</t>
  </si>
  <si>
    <t>F001</t>
  </si>
  <si>
    <t>F123</t>
  </si>
  <si>
    <t>F068</t>
  </si>
  <si>
    <t>F029</t>
  </si>
  <si>
    <t>cold storage</t>
  </si>
  <si>
    <t>F041</t>
  </si>
  <si>
    <t>F045</t>
  </si>
  <si>
    <t>F061</t>
  </si>
  <si>
    <t>traditional</t>
  </si>
  <si>
    <t>F124</t>
  </si>
  <si>
    <t>F025</t>
  </si>
  <si>
    <t>F026</t>
  </si>
  <si>
    <t>F024</t>
  </si>
  <si>
    <t>F095</t>
  </si>
  <si>
    <t>F040</t>
  </si>
  <si>
    <t>93 kg</t>
  </si>
  <si>
    <t>F096</t>
  </si>
  <si>
    <t>F118</t>
  </si>
  <si>
    <t>TZS 1,483</t>
  </si>
  <si>
    <t>F048</t>
  </si>
  <si>
    <t>F098</t>
  </si>
  <si>
    <t>635 kg</t>
  </si>
  <si>
    <t>86 kg</t>
  </si>
  <si>
    <t>Trad. storage</t>
  </si>
  <si>
    <t>F114</t>
  </si>
  <si>
    <t>F034</t>
  </si>
  <si>
    <t>TRUCK</t>
  </si>
  <si>
    <t>F139</t>
  </si>
  <si>
    <t>F102</t>
  </si>
  <si>
    <t>-</t>
  </si>
  <si>
    <t>F063</t>
  </si>
  <si>
    <t>F085</t>
  </si>
  <si>
    <t>F149</t>
  </si>
  <si>
    <t>F054</t>
  </si>
  <si>
    <t>F006</t>
  </si>
  <si>
    <t>F094</t>
  </si>
  <si>
    <t>none</t>
  </si>
  <si>
    <t>F112</t>
  </si>
  <si>
    <t>F050</t>
  </si>
  <si>
    <t>Cold storage</t>
  </si>
  <si>
    <t>F036</t>
  </si>
  <si>
    <t>19.3 km</t>
  </si>
  <si>
    <t>F081</t>
  </si>
  <si>
    <t>F078</t>
  </si>
  <si>
    <t>F035</t>
  </si>
  <si>
    <t>F115</t>
  </si>
  <si>
    <t>F008</t>
  </si>
  <si>
    <t>900 kg</t>
  </si>
  <si>
    <t>F044</t>
  </si>
  <si>
    <t>F071</t>
  </si>
  <si>
    <t>F099</t>
  </si>
  <si>
    <t>F121</t>
  </si>
  <si>
    <t>F084</t>
  </si>
  <si>
    <t>No Storage</t>
  </si>
  <si>
    <t>F135</t>
  </si>
  <si>
    <t>F136</t>
  </si>
  <si>
    <t>F090</t>
  </si>
  <si>
    <t>F009</t>
  </si>
  <si>
    <t>425 kg</t>
  </si>
  <si>
    <t>F014</t>
  </si>
  <si>
    <t>F120</t>
  </si>
  <si>
    <t>F126</t>
  </si>
  <si>
    <t>F004</t>
  </si>
  <si>
    <t>F018</t>
  </si>
  <si>
    <t>F039</t>
  </si>
  <si>
    <t>F073</t>
  </si>
  <si>
    <t>F137</t>
  </si>
  <si>
    <t>36 kg</t>
  </si>
  <si>
    <t>F007</t>
  </si>
  <si>
    <t>285 kg</t>
  </si>
  <si>
    <t>31.9 km</t>
  </si>
  <si>
    <t>F113</t>
  </si>
  <si>
    <t>F101</t>
  </si>
  <si>
    <t>F003</t>
  </si>
  <si>
    <t>F064</t>
  </si>
  <si>
    <t>Cold room</t>
  </si>
  <si>
    <t>F055</t>
  </si>
  <si>
    <t>unknown</t>
  </si>
  <si>
    <t>F127</t>
  </si>
  <si>
    <t>F051</t>
  </si>
  <si>
    <t>F116</t>
  </si>
  <si>
    <t>F047</t>
  </si>
  <si>
    <t>17.4 km</t>
  </si>
  <si>
    <t>F140</t>
  </si>
  <si>
    <t>F062</t>
  </si>
  <si>
    <t>motorcycle</t>
  </si>
  <si>
    <t>F148</t>
  </si>
  <si>
    <t>3.8 km</t>
  </si>
  <si>
    <t>F080</t>
  </si>
  <si>
    <t>F060</t>
  </si>
  <si>
    <t>F092</t>
  </si>
  <si>
    <t>F042</t>
  </si>
  <si>
    <t>604 kg</t>
  </si>
  <si>
    <t>F059</t>
  </si>
  <si>
    <t>F091</t>
  </si>
  <si>
    <t>F049</t>
  </si>
  <si>
    <t>Lorry</t>
  </si>
  <si>
    <t>F089</t>
  </si>
  <si>
    <t>F108</t>
  </si>
  <si>
    <t>109 kg</t>
  </si>
  <si>
    <t>F125</t>
  </si>
  <si>
    <t>F022</t>
  </si>
  <si>
    <t>F058</t>
  </si>
  <si>
    <t>F145</t>
  </si>
  <si>
    <t>F130</t>
  </si>
  <si>
    <t>F038</t>
  </si>
  <si>
    <t>F141</t>
  </si>
  <si>
    <t>other</t>
  </si>
  <si>
    <t>F002</t>
  </si>
  <si>
    <t>F053</t>
  </si>
  <si>
    <t>F131</t>
  </si>
  <si>
    <t>F104</t>
  </si>
  <si>
    <t>F100</t>
  </si>
  <si>
    <t>F117</t>
  </si>
  <si>
    <t>F088</t>
  </si>
  <si>
    <t>F075</t>
  </si>
  <si>
    <t>12.5 km</t>
  </si>
  <si>
    <t>F122</t>
  </si>
  <si>
    <t>F150</t>
  </si>
  <si>
    <t>F021</t>
  </si>
  <si>
    <t>F072</t>
  </si>
  <si>
    <t>F107</t>
  </si>
  <si>
    <t>F015</t>
  </si>
  <si>
    <t>F093</t>
  </si>
  <si>
    <t>22.2 km</t>
  </si>
  <si>
    <t>F103</t>
  </si>
  <si>
    <t>TZS -200</t>
  </si>
  <si>
    <t>Item</t>
  </si>
  <si>
    <t>Details</t>
  </si>
  <si>
    <t>Dataset purpose</t>
  </si>
  <si>
    <t>Practice dataset for Excel data cleaning and post-harvest-loss analysis</t>
  </si>
  <si>
    <t>Rows</t>
  </si>
  <si>
    <t>150 simulated farmer records</t>
  </si>
  <si>
    <t>Status</t>
  </si>
  <si>
    <t>Intentionally messy</t>
  </si>
  <si>
    <t>Important note</t>
  </si>
  <si>
    <t>Synthetic data only; not real survey observations</t>
  </si>
  <si>
    <t>Main outcome</t>
  </si>
  <si>
    <t>Post-harvest loss quantity / loss percentage</t>
  </si>
  <si>
    <t>Suggested first task</t>
  </si>
  <si>
    <t>Profile missing values, inconsistent labels, text-formatted numbers and suspicious records</t>
  </si>
  <si>
    <t>Metrics</t>
  </si>
  <si>
    <t>Result</t>
  </si>
  <si>
    <t>Total records</t>
  </si>
  <si>
    <t>Formula</t>
  </si>
  <si>
    <t>Missing ID</t>
  </si>
  <si>
    <t>Total harvest filled</t>
  </si>
  <si>
    <t>Total lost values filled</t>
  </si>
  <si>
    <t>Distance values filled</t>
  </si>
  <si>
    <t>Total sold values filled</t>
  </si>
  <si>
    <t>Days filled</t>
  </si>
  <si>
    <t>Price filled</t>
  </si>
  <si>
    <t>Harvest</t>
  </si>
  <si>
    <t>Variable</t>
  </si>
  <si>
    <t>blank</t>
  </si>
  <si>
    <t>text/other</t>
  </si>
  <si>
    <t>missmatch</t>
  </si>
  <si>
    <t>Lost values</t>
  </si>
  <si>
    <t>Distance values</t>
  </si>
  <si>
    <t>Sales</t>
  </si>
  <si>
    <t>Days</t>
  </si>
  <si>
    <t>Price</t>
  </si>
  <si>
    <t>Statistic</t>
  </si>
  <si>
    <t>Count</t>
  </si>
  <si>
    <t>Mean</t>
  </si>
  <si>
    <t>Minimum</t>
  </si>
  <si>
    <t>Maximum</t>
  </si>
  <si>
    <t>Range</t>
  </si>
  <si>
    <t>Standard Deviation</t>
  </si>
  <si>
    <t>Sold</t>
  </si>
  <si>
    <t>Lost</t>
  </si>
  <si>
    <t>Distance</t>
  </si>
  <si>
    <t>Median</t>
  </si>
  <si>
    <t>Q1</t>
  </si>
  <si>
    <t>Q3</t>
  </si>
  <si>
    <t>IQR</t>
  </si>
  <si>
    <t>Lower bound</t>
  </si>
  <si>
    <t>Upper bound</t>
  </si>
  <si>
    <t xml:space="preserve"> </t>
  </si>
  <si>
    <t>farmer-distribution</t>
  </si>
  <si>
    <t>Grand Total</t>
  </si>
  <si>
    <t>Loss_rate</t>
  </si>
  <si>
    <t>Revenue</t>
  </si>
  <si>
    <t>Distance_category</t>
  </si>
  <si>
    <t>Storage_method</t>
  </si>
  <si>
    <t>Average of Loss_rate</t>
  </si>
  <si>
    <t>Medium distance</t>
  </si>
  <si>
    <t>Near</t>
  </si>
  <si>
    <t>Far</t>
  </si>
  <si>
    <t>Days_category</t>
  </si>
  <si>
    <t>Long delay</t>
  </si>
  <si>
    <t>Moderate delay</t>
  </si>
  <si>
    <t>Quick sale</t>
  </si>
  <si>
    <t>Transport_method</t>
  </si>
  <si>
    <t>Days_before_sale</t>
  </si>
  <si>
    <t>Count of Farmer_ID</t>
  </si>
  <si>
    <t>Average of Loss rate</t>
  </si>
  <si>
    <t>Harvest_check</t>
  </si>
  <si>
    <t>Quantity_lost</t>
  </si>
  <si>
    <t>Quantity_sold</t>
  </si>
  <si>
    <t>Distance_to_market</t>
  </si>
  <si>
    <t>Selling_price</t>
  </si>
  <si>
    <t>Loss_rate_range</t>
  </si>
  <si>
    <t>Highest loss</t>
  </si>
  <si>
    <t>Lowest loss</t>
  </si>
  <si>
    <t>Medium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</si>
</sst>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0"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 fillId="0" borderId="2" xfId="0" applyFont="1" applyFill="1" applyBorder="1" applyAlignment="1">
      <alignment horizontal="center" vertical="top"/>
    </xf>
    <xf numFmtId="0" fontId="2" fillId="0" borderId="1" xfId="0" applyFont="1" applyBorder="1" applyAlignment="1">
      <alignment horizontal="center" vertical="top"/>
    </xf>
    <xf numFmtId="2" fontId="0" fillId="0" borderId="0" xfId="0" applyNumberFormat="1"/>
  </cellXfs>
  <cellStyles count="1">
    <cellStyle name="Normal" xfId="0" builtinId="0"/>
  </cellStyles>
  <dxfs count="21">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ont>
        <color rgb="FF9C0006"/>
      </font>
      <fill>
        <patternFill>
          <bgColor rgb="FFFFC7CE"/>
        </patternFill>
      </fill>
    </dxf>
    <dxf>
      <numFmt numFmtId="2" formatCode="0.00"/>
    </dxf>
    <dxf>
      <numFmt numFmtId="2" formatCode="0.00"/>
    </dxf>
    <dxf>
      <numFmt numFmtId="14"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Patter_Analysis!$B$13</c:f>
              <c:strCache>
                <c:ptCount val="1"/>
                <c:pt idx="0">
                  <c:v>Total</c:v>
                </c:pt>
              </c:strCache>
            </c:strRef>
          </c:tx>
          <c:spPr>
            <a:solidFill>
              <a:schemeClr val="accent1"/>
            </a:solidFill>
            <a:ln>
              <a:noFill/>
            </a:ln>
            <a:effectLst/>
          </c:spPr>
          <c:invertIfNegative val="0"/>
          <c:cat>
            <c:strRef>
              <c:f>Patter_Analysis!$A$14:$A$19</c:f>
              <c:strCache>
                <c:ptCount val="5"/>
                <c:pt idx="0">
                  <c:v>Bicycle</c:v>
                </c:pt>
                <c:pt idx="1">
                  <c:v>Motor cycle</c:v>
                </c:pt>
                <c:pt idx="2">
                  <c:v>Other</c:v>
                </c:pt>
                <c:pt idx="3">
                  <c:v>Pick up</c:v>
                </c:pt>
                <c:pt idx="4">
                  <c:v>Truck</c:v>
                </c:pt>
              </c:strCache>
            </c:strRef>
          </c:cat>
          <c:val>
            <c:numRef>
              <c:f>Patter_Analysis!$B$14:$B$19</c:f>
              <c:numCache>
                <c:formatCode>0.00%</c:formatCode>
                <c:ptCount val="5"/>
                <c:pt idx="0">
                  <c:v>0.14683573827775048</c:v>
                </c:pt>
                <c:pt idx="1">
                  <c:v>0.15548591982910487</c:v>
                </c:pt>
                <c:pt idx="2">
                  <c:v>0.13575694553434325</c:v>
                </c:pt>
                <c:pt idx="3">
                  <c:v>0.11889423884426865</c:v>
                </c:pt>
                <c:pt idx="4">
                  <c:v>0.13216726746111421</c:v>
                </c:pt>
              </c:numCache>
            </c:numRef>
          </c:val>
          <c:extLst>
            <c:ext xmlns:c16="http://schemas.microsoft.com/office/drawing/2014/chart" uri="{C3380CC4-5D6E-409C-BE32-E72D297353CC}">
              <c16:uniqueId val="{00000000-B631-497D-8047-9A5A547F8B81}"/>
            </c:ext>
          </c:extLst>
        </c:ser>
        <c:dLbls>
          <c:showLegendKey val="0"/>
          <c:showVal val="0"/>
          <c:showCatName val="0"/>
          <c:showSerName val="0"/>
          <c:showPercent val="0"/>
          <c:showBubbleSize val="0"/>
        </c:dLbls>
        <c:gapWidth val="219"/>
        <c:overlap val="-27"/>
        <c:axId val="225249424"/>
        <c:axId val="225249008"/>
      </c:barChart>
      <c:catAx>
        <c:axId val="2252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9008"/>
        <c:crosses val="autoZero"/>
        <c:auto val="1"/>
        <c:lblAlgn val="ctr"/>
        <c:lblOffset val="100"/>
        <c:noMultiLvlLbl val="0"/>
      </c:catAx>
      <c:valAx>
        <c:axId val="22524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Patter_Analysis!$F$13</c:f>
              <c:strCache>
                <c:ptCount val="1"/>
                <c:pt idx="0">
                  <c:v>Total</c:v>
                </c:pt>
              </c:strCache>
            </c:strRef>
          </c:tx>
          <c:spPr>
            <a:solidFill>
              <a:schemeClr val="accent1"/>
            </a:solidFill>
            <a:ln>
              <a:noFill/>
            </a:ln>
            <a:effectLst/>
          </c:spPr>
          <c:invertIfNegative val="0"/>
          <c:cat>
            <c:strRef>
              <c:f>Patter_Analysis!$E$14:$E$17</c:f>
              <c:strCache>
                <c:ptCount val="3"/>
                <c:pt idx="0">
                  <c:v>Long delay</c:v>
                </c:pt>
                <c:pt idx="1">
                  <c:v>Moderate delay</c:v>
                </c:pt>
                <c:pt idx="2">
                  <c:v>Quick sale</c:v>
                </c:pt>
              </c:strCache>
            </c:strRef>
          </c:cat>
          <c:val>
            <c:numRef>
              <c:f>Patter_Analysis!$F$14:$F$17</c:f>
              <c:numCache>
                <c:formatCode>0.00%</c:formatCode>
                <c:ptCount val="3"/>
                <c:pt idx="0">
                  <c:v>0.16723510991559878</c:v>
                </c:pt>
                <c:pt idx="1">
                  <c:v>0.13281079218239472</c:v>
                </c:pt>
                <c:pt idx="2">
                  <c:v>0.10695517721455691</c:v>
                </c:pt>
              </c:numCache>
            </c:numRef>
          </c:val>
          <c:extLst>
            <c:ext xmlns:c16="http://schemas.microsoft.com/office/drawing/2014/chart" uri="{C3380CC4-5D6E-409C-BE32-E72D297353CC}">
              <c16:uniqueId val="{00000000-2ED1-408B-9661-34C5A5F6BF6A}"/>
            </c:ext>
          </c:extLst>
        </c:ser>
        <c:dLbls>
          <c:showLegendKey val="0"/>
          <c:showVal val="0"/>
          <c:showCatName val="0"/>
          <c:showSerName val="0"/>
          <c:showPercent val="0"/>
          <c:showBubbleSize val="0"/>
        </c:dLbls>
        <c:gapWidth val="219"/>
        <c:overlap val="-27"/>
        <c:axId val="119332880"/>
        <c:axId val="119334960"/>
      </c:barChart>
      <c:catAx>
        <c:axId val="1193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4960"/>
        <c:crosses val="autoZero"/>
        <c:auto val="1"/>
        <c:lblAlgn val="ctr"/>
        <c:lblOffset val="100"/>
        <c:noMultiLvlLbl val="0"/>
      </c:catAx>
      <c:valAx>
        <c:axId val="119334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Patter_Analysis!$F$3</c:f>
              <c:strCache>
                <c:ptCount val="1"/>
                <c:pt idx="0">
                  <c:v>Total</c:v>
                </c:pt>
              </c:strCache>
            </c:strRef>
          </c:tx>
          <c:spPr>
            <a:solidFill>
              <a:schemeClr val="accent1"/>
            </a:solidFill>
            <a:ln>
              <a:noFill/>
            </a:ln>
            <a:effectLst/>
          </c:spPr>
          <c:invertIfNegative val="0"/>
          <c:cat>
            <c:strRef>
              <c:f>Patter_Analysis!$E$4:$E$7</c:f>
              <c:strCache>
                <c:ptCount val="3"/>
                <c:pt idx="0">
                  <c:v>Far</c:v>
                </c:pt>
                <c:pt idx="1">
                  <c:v>Medium distance</c:v>
                </c:pt>
                <c:pt idx="2">
                  <c:v>Near</c:v>
                </c:pt>
              </c:strCache>
            </c:strRef>
          </c:cat>
          <c:val>
            <c:numRef>
              <c:f>Patter_Analysis!$F$4:$F$7</c:f>
              <c:numCache>
                <c:formatCode>0.00%</c:formatCode>
                <c:ptCount val="3"/>
                <c:pt idx="0">
                  <c:v>0.18570972733127447</c:v>
                </c:pt>
                <c:pt idx="1">
                  <c:v>0.13503538705359927</c:v>
                </c:pt>
                <c:pt idx="2">
                  <c:v>0.11556025480576107</c:v>
                </c:pt>
              </c:numCache>
            </c:numRef>
          </c:val>
          <c:extLst>
            <c:ext xmlns:c16="http://schemas.microsoft.com/office/drawing/2014/chart" uri="{C3380CC4-5D6E-409C-BE32-E72D297353CC}">
              <c16:uniqueId val="{00000000-453F-4E45-AFD7-D1DF4A0EE1A2}"/>
            </c:ext>
          </c:extLst>
        </c:ser>
        <c:dLbls>
          <c:showLegendKey val="0"/>
          <c:showVal val="0"/>
          <c:showCatName val="0"/>
          <c:showSerName val="0"/>
          <c:showPercent val="0"/>
          <c:showBubbleSize val="0"/>
        </c:dLbls>
        <c:gapWidth val="219"/>
        <c:overlap val="-27"/>
        <c:axId val="124075824"/>
        <c:axId val="124073744"/>
      </c:barChart>
      <c:catAx>
        <c:axId val="12407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3744"/>
        <c:crosses val="autoZero"/>
        <c:auto val="1"/>
        <c:lblAlgn val="ctr"/>
        <c:lblOffset val="100"/>
        <c:noMultiLvlLbl val="0"/>
      </c:catAx>
      <c:valAx>
        <c:axId val="12407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Patter_Analysis!$B$3</c:f>
              <c:strCache>
                <c:ptCount val="1"/>
                <c:pt idx="0">
                  <c:v>Total</c:v>
                </c:pt>
              </c:strCache>
            </c:strRef>
          </c:tx>
          <c:spPr>
            <a:solidFill>
              <a:schemeClr val="accent1"/>
            </a:solidFill>
            <a:ln>
              <a:noFill/>
            </a:ln>
            <a:effectLst/>
          </c:spPr>
          <c:invertIfNegative val="0"/>
          <c:cat>
            <c:strRef>
              <c:f>Patter_Analysis!$A$4:$A$8</c:f>
              <c:strCache>
                <c:ptCount val="4"/>
                <c:pt idx="0">
                  <c:v>cold storage</c:v>
                </c:pt>
                <c:pt idx="1">
                  <c:v>Improved storage</c:v>
                </c:pt>
                <c:pt idx="2">
                  <c:v>No storage</c:v>
                </c:pt>
                <c:pt idx="3">
                  <c:v>Traditional storage</c:v>
                </c:pt>
              </c:strCache>
            </c:strRef>
          </c:cat>
          <c:val>
            <c:numRef>
              <c:f>Patter_Analysis!$B$4:$B$8</c:f>
              <c:numCache>
                <c:formatCode>0.00%</c:formatCode>
                <c:ptCount val="4"/>
                <c:pt idx="0">
                  <c:v>0.12924178347019927</c:v>
                </c:pt>
                <c:pt idx="1">
                  <c:v>0.10511189568376035</c:v>
                </c:pt>
                <c:pt idx="2">
                  <c:v>0.1539216607653206</c:v>
                </c:pt>
                <c:pt idx="3">
                  <c:v>0.13697785488505129</c:v>
                </c:pt>
              </c:numCache>
            </c:numRef>
          </c:val>
          <c:extLst>
            <c:ext xmlns:c16="http://schemas.microsoft.com/office/drawing/2014/chart" uri="{C3380CC4-5D6E-409C-BE32-E72D297353CC}">
              <c16:uniqueId val="{00000000-34B0-4F76-B35A-5C10B1C87A98}"/>
            </c:ext>
          </c:extLst>
        </c:ser>
        <c:dLbls>
          <c:showLegendKey val="0"/>
          <c:showVal val="0"/>
          <c:showCatName val="0"/>
          <c:showSerName val="0"/>
          <c:showPercent val="0"/>
          <c:showBubbleSize val="0"/>
        </c:dLbls>
        <c:gapWidth val="219"/>
        <c:overlap val="-27"/>
        <c:axId val="116555664"/>
        <c:axId val="116548592"/>
      </c:barChart>
      <c:catAx>
        <c:axId val="11655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48592"/>
        <c:crosses val="autoZero"/>
        <c:auto val="1"/>
        <c:lblAlgn val="ctr"/>
        <c:lblOffset val="100"/>
        <c:noMultiLvlLbl val="0"/>
      </c:catAx>
      <c:valAx>
        <c:axId val="11654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5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Loss</a:t>
            </a:r>
            <a:r>
              <a:rPr lang="en-US" baseline="0"/>
              <a:t> rate by transportation type</a:t>
            </a:r>
          </a:p>
        </c:rich>
      </c:tx>
      <c:layout>
        <c:manualLayout>
          <c:xMode val="edge"/>
          <c:yMode val="edge"/>
          <c:x val="0.14201163180593615"/>
          <c:y val="0.152425391270535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Patter_Analysis!$A$14:$A$19</c:f>
              <c:strCache>
                <c:ptCount val="5"/>
                <c:pt idx="0">
                  <c:v>Bicycle</c:v>
                </c:pt>
                <c:pt idx="1">
                  <c:v>Motor cycle</c:v>
                </c:pt>
                <c:pt idx="2">
                  <c:v>Other</c:v>
                </c:pt>
                <c:pt idx="3">
                  <c:v>Pick up</c:v>
                </c:pt>
                <c:pt idx="4">
                  <c:v>Truck</c:v>
                </c:pt>
              </c:strCache>
            </c:strRef>
          </c:cat>
          <c:val>
            <c:numRef>
              <c:f>Patter_Analysis!$B$14:$B$19</c:f>
              <c:numCache>
                <c:formatCode>0.00%</c:formatCode>
                <c:ptCount val="5"/>
                <c:pt idx="0">
                  <c:v>0.14683573827775048</c:v>
                </c:pt>
                <c:pt idx="1">
                  <c:v>0.15548591982910487</c:v>
                </c:pt>
                <c:pt idx="2">
                  <c:v>0.13575694553434325</c:v>
                </c:pt>
                <c:pt idx="3">
                  <c:v>0.11889423884426865</c:v>
                </c:pt>
                <c:pt idx="4">
                  <c:v>0.13216726746111421</c:v>
                </c:pt>
              </c:numCache>
            </c:numRef>
          </c:val>
          <c:extLst>
            <c:ext xmlns:c16="http://schemas.microsoft.com/office/drawing/2014/chart" uri="{C3380CC4-5D6E-409C-BE32-E72D297353CC}">
              <c16:uniqueId val="{00000000-D91C-46FC-B21E-DFCE424E6863}"/>
            </c:ext>
          </c:extLst>
        </c:ser>
        <c:dLbls>
          <c:dLblPos val="inEnd"/>
          <c:showLegendKey val="0"/>
          <c:showVal val="1"/>
          <c:showCatName val="0"/>
          <c:showSerName val="0"/>
          <c:showPercent val="0"/>
          <c:showBubbleSize val="0"/>
        </c:dLbls>
        <c:gapWidth val="65"/>
        <c:axId val="225249424"/>
        <c:axId val="225249008"/>
      </c:barChart>
      <c:catAx>
        <c:axId val="2252494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5249008"/>
        <c:crosses val="autoZero"/>
        <c:auto val="1"/>
        <c:lblAlgn val="ctr"/>
        <c:lblOffset val="100"/>
        <c:noMultiLvlLbl val="0"/>
      </c:catAx>
      <c:valAx>
        <c:axId val="225249008"/>
        <c:scaling>
          <c:orientation val="minMax"/>
        </c:scaling>
        <c:delete val="1"/>
        <c:axPos val="l"/>
        <c:numFmt formatCode="0.00%" sourceLinked="1"/>
        <c:majorTickMark val="none"/>
        <c:minorTickMark val="none"/>
        <c:tickLblPos val="nextTo"/>
        <c:crossAx val="22524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[tomato_post_harvest_loss_messy_simulated.xlsx]Patter_Analysis!PivotTable7</c:name>
    <c:fmtId val="2"/>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800" b="1" i="0" baseline="0">
                <a:effectLst/>
              </a:rPr>
              <a:t>Loss rate by delay before sale</a:t>
            </a:r>
            <a:endParaRPr lang="en-US">
              <a:effectLst/>
            </a:endParaRPr>
          </a:p>
        </c:rich>
      </c:tx>
      <c:layout>
        <c:manualLayout>
          <c:xMode val="edge"/>
          <c:yMode val="edge"/>
          <c:x val="9.0720935726056218E-2"/>
          <c:y val="0.14191323823644644"/>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Patter_Analysis!$F$13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Patter_Analysis!$E$14:$E$17</c:f>
              <c:strCache>
                <c:ptCount val="3"/>
                <c:pt idx="0">
                  <c:v>Long delay</c:v>
                </c:pt>
                <c:pt idx="1">
                  <c:v>Moderate delay</c:v>
                </c:pt>
                <c:pt idx="2">
                  <c:v>Quick sale</c:v>
                </c:pt>
              </c:strCache>
            </c:strRef>
          </c:cat>
          <c:val>
            <c:numRef>
              <c:f>Patter_Analysis!$F$14:$F$17</c:f>
              <c:numCache>
                <c:formatCode>0.00%</c:formatCode>
                <c:ptCount val="3"/>
                <c:pt idx="0">
                  <c:v>0.16723510991559878</c:v>
                </c:pt>
                <c:pt idx="1">
                  <c:v>0.13281079218239472</c:v>
                </c:pt>
                <c:pt idx="2">
                  <c:v>0.10695517721455691</c:v>
                </c:pt>
              </c:numCache>
            </c:numRef>
          </c:val>
          <c:extLst>
            <c:ext xmlns:c16="http://schemas.microsoft.com/office/drawing/2014/chart" uri="{C3380CC4-5D6E-409C-BE32-E72D297353CC}">
              <c16:uniqueId val="{00000000-39A6-425D-A8CB-401BF2EAE461}"/>
            </c:ext>
          </c:extLst>
        </c:ser>
        <c:dLbls>
          <c:dLblPos val="inEnd"/>
          <c:showLegendKey val="0"/>
          <c:showVal val="1"/>
          <c:showCatName val="0"/>
          <c:showSerName val="0"/>
          <c:showPercent val="0"/>
          <c:showBubbleSize val="0"/>
        </c:dLbls>
        <c:gapWidth val="65"/>
        <c:axId val="119332880"/>
        <c:axId val="119334960"/>
      </c:barChart>
      <c:catAx>
        <c:axId val="11933288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334960"/>
        <c:crosses val="autoZero"/>
        <c:auto val="1"/>
        <c:lblAlgn val="ctr"/>
        <c:lblOffset val="100"/>
        <c:noMultiLvlLbl val="0"/>
      </c:catAx>
      <c:valAx>
        <c:axId val="119334960"/>
        <c:scaling>
          <c:orientation val="minMax"/>
        </c:scaling>
        <c:delete val="1"/>
        <c:axPos val="l"/>
        <c:numFmt formatCode="0.00%" sourceLinked="1"/>
        <c:majorTickMark val="none"/>
        <c:minorTickMark val="none"/>
        <c:tickLblPos val="nextTo"/>
        <c:crossAx val="119332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[tomato_post_harvest_loss_messy_simulated.xlsx]Patter_Analysis!PivotTable6</c:name>
    <c:fmtId val="5"/>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800" b="1" i="0" baseline="0">
                <a:effectLst/>
              </a:rPr>
              <a:t>Loss rate by distance</a:t>
            </a:r>
          </a:p>
        </c:rich>
      </c:tx>
      <c:layout>
        <c:manualLayout>
          <c:xMode val="edge"/>
          <c:yMode val="edge"/>
          <c:x val="0.31145367247015798"/>
          <c:y val="0.11504807323308947"/>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Patter_Analysis!$F$3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Patter_Analysis!$E$4:$E$7</c:f>
              <c:strCache>
                <c:ptCount val="3"/>
                <c:pt idx="0">
                  <c:v>Far</c:v>
                </c:pt>
                <c:pt idx="1">
                  <c:v>Medium distance</c:v>
                </c:pt>
                <c:pt idx="2">
                  <c:v>Near</c:v>
                </c:pt>
              </c:strCache>
            </c:strRef>
          </c:cat>
          <c:val>
            <c:numRef>
              <c:f>Patter_Analysis!$F$4:$F$7</c:f>
              <c:numCache>
                <c:formatCode>0.00%</c:formatCode>
                <c:ptCount val="3"/>
                <c:pt idx="0">
                  <c:v>0.18570972733127447</c:v>
                </c:pt>
                <c:pt idx="1">
                  <c:v>0.13503538705359927</c:v>
                </c:pt>
                <c:pt idx="2">
                  <c:v>0.11556025480576107</c:v>
                </c:pt>
              </c:numCache>
            </c:numRef>
          </c:val>
          <c:extLst>
            <c:ext xmlns:c16="http://schemas.microsoft.com/office/drawing/2014/chart" uri="{C3380CC4-5D6E-409C-BE32-E72D297353CC}">
              <c16:uniqueId val="{00000000-D338-481E-930A-1861FCB4549A}"/>
            </c:ext>
          </c:extLst>
        </c:ser>
        <c:dLbls>
          <c:dLblPos val="inEnd"/>
          <c:showLegendKey val="0"/>
          <c:showVal val="1"/>
          <c:showCatName val="0"/>
          <c:showSerName val="0"/>
          <c:showPercent val="0"/>
          <c:showBubbleSize val="0"/>
        </c:dLbls>
        <c:gapWidth val="65"/>
        <c:axId val="124075824"/>
        <c:axId val="124073744"/>
      </c:barChart>
      <c:catAx>
        <c:axId val="12407582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073744"/>
        <c:crosses val="autoZero"/>
        <c:auto val="1"/>
        <c:lblAlgn val="ctr"/>
        <c:lblOffset val="100"/>
        <c:noMultiLvlLbl val="0"/>
      </c:catAx>
      <c:valAx>
        <c:axId val="124073744"/>
        <c:scaling>
          <c:orientation val="minMax"/>
        </c:scaling>
        <c:delete val="1"/>
        <c:axPos val="l"/>
        <c:numFmt formatCode="0.00%" sourceLinked="1"/>
        <c:majorTickMark val="out"/>
        <c:minorTickMark val="none"/>
        <c:tickLblPos val="nextTo"/>
        <c:crossAx val="124075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[tomato_post_harvest_loss_messy_simulated.xlsx]Patter_Analysis!PivotTable4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baseline="0">
                <a:effectLst/>
              </a:rPr>
              <a:t>Loss rate by storage</a:t>
            </a:r>
            <a:endParaRPr lang="en-US">
              <a:effectLst/>
            </a:endParaRPr>
          </a:p>
        </c:rich>
      </c:tx>
      <c:layout>
        <c:manualLayout>
          <c:xMode val="edge"/>
          <c:yMode val="edge"/>
          <c:x val="0.31611238574823269"/>
          <c:y val="0.1322027054310518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Patter_Analysis!$B$3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Patter_Analysis!$A$4:$A$8</c:f>
              <c:strCache>
                <c:ptCount val="4"/>
                <c:pt idx="0">
                  <c:v>cold storage</c:v>
                </c:pt>
                <c:pt idx="1">
                  <c:v>Improved storage</c:v>
                </c:pt>
                <c:pt idx="2">
                  <c:v>No storage</c:v>
                </c:pt>
                <c:pt idx="3">
                  <c:v>Traditional storage</c:v>
                </c:pt>
              </c:strCache>
            </c:strRef>
          </c:cat>
          <c:val>
            <c:numRef>
              <c:f>Patter_Analysis!$B$4:$B$8</c:f>
              <c:numCache>
                <c:formatCode>0.00%</c:formatCode>
                <c:ptCount val="4"/>
                <c:pt idx="0">
                  <c:v>0.12924178347019927</c:v>
                </c:pt>
                <c:pt idx="1">
                  <c:v>0.10511189568376035</c:v>
                </c:pt>
                <c:pt idx="2">
                  <c:v>0.1539216607653206</c:v>
                </c:pt>
                <c:pt idx="3">
                  <c:v>0.13697785488505129</c:v>
                </c:pt>
              </c:numCache>
            </c:numRef>
          </c:val>
          <c:extLst>
            <c:ext xmlns:c16="http://schemas.microsoft.com/office/drawing/2014/chart" uri="{C3380CC4-5D6E-409C-BE32-E72D297353CC}">
              <c16:uniqueId val="{00000000-1CFC-495A-B916-A263AE2C0AF7}"/>
            </c:ext>
          </c:extLst>
        </c:ser>
        <c:dLbls>
          <c:dLblPos val="inEnd"/>
          <c:showLegendKey val="0"/>
          <c:showVal val="1"/>
          <c:showCatName val="0"/>
          <c:showSerName val="0"/>
          <c:showPercent val="0"/>
          <c:showBubbleSize val="0"/>
        </c:dLbls>
        <c:gapWidth val="65"/>
        <c:axId val="116555664"/>
        <c:axId val="116548592"/>
      </c:barChart>
      <c:catAx>
        <c:axId val="11655566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548592"/>
        <c:crosses val="autoZero"/>
        <c:auto val="1"/>
        <c:lblAlgn val="ctr"/>
        <c:lblOffset val="100"/>
        <c:noMultiLvlLbl val="0"/>
      </c:catAx>
      <c:valAx>
        <c:axId val="116548592"/>
        <c:scaling>
          <c:orientation val="minMax"/>
        </c:scaling>
        <c:delete val="1"/>
        <c:axPos val="l"/>
        <c:numFmt formatCode="0.00%" sourceLinked="1"/>
        <c:majorTickMark val="out"/>
        <c:minorTickMark val="none"/>
        <c:tickLblPos val="nextTo"/>
        <c:crossAx val="116555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166687</xdr:colOff>
      <xdr:row>0</xdr:row>
      <xdr:rowOff>28575</xdr:rowOff>
    </xdr:from>
    <xdr:to>
      <xdr:col>12</xdr:col>
      <xdr:colOff>19050</xdr:colOff>
      <xdr:row>11</xdr:row>
      <xdr:rowOff>66675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200025</xdr:colOff>
      <xdr:row>12</xdr:row>
      <xdr:rowOff>19049</xdr:rowOff>
    </xdr:from>
    <xdr:to>
      <xdr:col>11</xdr:col>
      <xdr:colOff>542925</xdr:colOff>
      <xdr:row>22</xdr:row>
      <xdr:rowOff>161924</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12</xdr:row>
      <xdr:rowOff>171449</xdr:rowOff>
    </xdr:from>
    <xdr:to>
      <xdr:col>18</xdr:col>
      <xdr:colOff>381000</xdr:colOff>
      <xdr:row>25</xdr:row>
      <xdr:rowOff>104774</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447675</xdr:colOff>
      <xdr:row>0</xdr:row>
      <xdr:rowOff>0</xdr:rowOff>
    </xdr:from>
    <xdr:to>
      <xdr:col>18</xdr:col>
      <xdr:colOff>409575</xdr:colOff>
      <xdr:row>12</xdr:row>
      <xdr:rowOff>76200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123825</xdr:colOff>
      <xdr:row>0</xdr:row>
      <xdr:rowOff>28575</xdr:rowOff>
    </xdr:from>
    <xdr:to>
      <xdr:col>25</xdr:col>
      <xdr:colOff>123825</xdr:colOff>
      <xdr:row>9</xdr:row>
      <xdr:rowOff>171450</xdr:rowOff>
    </xdr:to>
    <mc:AlternateContent xmlns:mc="http://schemas.openxmlformats.org/markup-compatibility/2006" xmlns:a14="http://schemas.microsoft.com/office/drawing/2010/main">
      <mc:Choice Requires="a14">
        <xdr:graphicFrame macro="">
          <xdr:nvGraphicFramePr>
            <xdr:cNvPr id="2" name="Storage_method">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torage_method"/>
            </a:graphicData>
          </a:graphic>
        </xdr:graphicFrame>
      </mc:Choice>
      <mc:Fallback xmlns="">
        <xdr:sp macro="" textlink="">
          <xdr:nvSpPr>
            <xdr:cNvPr id="0" name=""/>
            <xdr:cNvSpPr>
              <a:spLocks noTextEdit="1"/>
            </xdr:cNvSpPr>
          </xdr:nvSpPr>
          <xdr:spPr>
            <a:xfrm>
              <a:off x="16697325" y="28575"/>
              <a:ext cx="182880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xdr:colOff>
      <xdr:row>0</xdr:row>
      <xdr:rowOff>19050</xdr:rowOff>
    </xdr:from>
    <xdr:to>
      <xdr:col>22</xdr:col>
      <xdr:colOff>28575</xdr:colOff>
      <xdr:row>10</xdr:row>
      <xdr:rowOff>9525</xdr:rowOff>
    </xdr:to>
    <mc:AlternateContent xmlns:mc="http://schemas.openxmlformats.org/markup-compatibility/2006" xmlns:a14="http://schemas.microsoft.com/office/drawing/2010/main">
      <mc:Choice Requires="a14">
        <xdr:graphicFrame macro="">
          <xdr:nvGraphicFramePr>
            <xdr:cNvPr id="7" name="Transport_Method">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Transport_Method"/>
            </a:graphicData>
          </a:graphic>
        </xdr:graphicFrame>
      </mc:Choice>
      <mc:Fallback xmlns="">
        <xdr:sp macro="" textlink="">
          <xdr:nvSpPr>
            <xdr:cNvPr id="0" name=""/>
            <xdr:cNvSpPr>
              <a:spLocks noTextEdit="1"/>
            </xdr:cNvSpPr>
          </xdr:nvSpPr>
          <xdr:spPr>
            <a:xfrm>
              <a:off x="14773275" y="1905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10</xdr:row>
      <xdr:rowOff>28575</xdr:rowOff>
    </xdr:from>
    <xdr:to>
      <xdr:col>22</xdr:col>
      <xdr:colOff>19050</xdr:colOff>
      <xdr:row>19</xdr:row>
      <xdr:rowOff>114300</xdr:rowOff>
    </xdr:to>
    <mc:AlternateContent xmlns:mc="http://schemas.openxmlformats.org/markup-compatibility/2006" xmlns:a14="http://schemas.microsoft.com/office/drawing/2010/main">
      <mc:Choice Requires="a14">
        <xdr:graphicFrame macro="">
          <xdr:nvGraphicFramePr>
            <xdr:cNvPr id="9" name="Distance_category">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Distance_category"/>
            </a:graphicData>
          </a:graphic>
        </xdr:graphicFrame>
      </mc:Choice>
      <mc:Fallback xmlns="">
        <xdr:sp macro="" textlink="">
          <xdr:nvSpPr>
            <xdr:cNvPr id="0" name=""/>
            <xdr:cNvSpPr>
              <a:spLocks noTextEdit="1"/>
            </xdr:cNvSpPr>
          </xdr:nvSpPr>
          <xdr:spPr>
            <a:xfrm>
              <a:off x="14763750" y="1933575"/>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447674</xdr:colOff>
      <xdr:row>39</xdr:row>
      <xdr:rowOff>120650</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0" y="0"/>
          <a:ext cx="10810874" cy="755015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95250</xdr:colOff>
      <xdr:row>0</xdr:row>
      <xdr:rowOff>76200</xdr:rowOff>
    </xdr:from>
    <xdr:to>
      <xdr:col>2</xdr:col>
      <xdr:colOff>247650</xdr:colOff>
      <xdr:row>4</xdr:row>
      <xdr:rowOff>76200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95250" y="76200"/>
          <a:ext cx="1371600" cy="76200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361949</xdr:colOff>
      <xdr:row>0</xdr:row>
      <xdr:rowOff>76200</xdr:rowOff>
    </xdr:from>
    <xdr:to>
      <xdr:col>17</xdr:col>
      <xdr:colOff>371475</xdr:colOff>
      <xdr:row>4</xdr:row>
      <xdr:rowOff>104775</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1581149" y="76200"/>
          <a:ext cx="9153526" cy="790575"/>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0</xdr:colOff>
      <xdr:row>4</xdr:row>
      <xdr:rowOff>142873</xdr:rowOff>
    </xdr:from>
    <xdr:to>
      <xdr:col>2</xdr:col>
      <xdr:colOff>257175</xdr:colOff>
      <xdr:row>37</xdr:row>
      <xdr:rowOff>180974</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0" y="904873"/>
          <a:ext cx="1476375" cy="6324601"/>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400049</xdr:colOff>
      <xdr:row>5</xdr:row>
      <xdr:rowOff>19050</xdr:rowOff>
    </xdr:from>
    <xdr:to>
      <xdr:col>6</xdr:col>
      <xdr:colOff>76200</xdr:colOff>
      <xdr:row>9</xdr:row>
      <xdr:rowOff>19050</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1619249" y="971550"/>
          <a:ext cx="2114551" cy="76200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0</xdr:col>
      <xdr:colOff>276225</xdr:colOff>
      <xdr:row>0</xdr:row>
      <xdr:rowOff>169801</xdr:rowOff>
    </xdr:from>
    <xdr:to>
      <xdr:col>2</xdr:col>
      <xdr:colOff>123825</xdr:colOff>
      <xdr:row>4</xdr:row>
      <xdr:rowOff>38100</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169801"/>
          <a:ext cx="1066800" cy="630299"/>
        </a:xfrm>
        <a:prstGeom prst="rect">
          <a:avLst/>
        </a:prstGeom>
        <a:effectLst>
          <a:outerShdw blurRad="50800" dist="38100" dir="5400000" algn="t" rotWithShape="0">
            <a:prstClr val="black">
              <a:alpha val="40000"/>
            </a:prstClr>
          </a:outerShdw>
        </a:effectLst>
      </xdr:spPr>
    </xdr:pic>
    <xdr:clientData/>
  </xdr:twoCellAnchor>
  <xdr:twoCellAnchor>
    <xdr:from>
      <xdr:col>3</xdr:col>
      <xdr:colOff>609599</xdr:colOff>
      <xdr:row>1</xdr:row>
      <xdr:rowOff>104775</xdr:rowOff>
    </xdr:from>
    <xdr:to>
      <xdr:col>13</xdr:col>
      <xdr:colOff>457200</xdr:colOff>
      <xdr:row>2</xdr:row>
      <xdr:rowOff>177800</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2438399" y="295275"/>
          <a:ext cx="5943601" cy="263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ysClr val="windowText" lastClr="000000"/>
              </a:solidFill>
            </a:rPr>
            <a:t>TOMATO POST HARVEST LOSS ANALYSIS DASHBOARD</a:t>
          </a:r>
        </a:p>
      </xdr:txBody>
    </xdr:sp>
    <xdr:clientData/>
  </xdr:twoCellAnchor>
  <xdr:twoCellAnchor>
    <xdr:from>
      <xdr:col>3</xdr:col>
      <xdr:colOff>447675</xdr:colOff>
      <xdr:row>5</xdr:row>
      <xdr:rowOff>142875</xdr:rowOff>
    </xdr:from>
    <xdr:to>
      <xdr:col>5</xdr:col>
      <xdr:colOff>9525</xdr:colOff>
      <xdr:row>6</xdr:row>
      <xdr:rowOff>66675</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2276475" y="1095375"/>
          <a:ext cx="781050" cy="114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p>
      </xdr:txBody>
    </xdr:sp>
    <xdr:clientData/>
  </xdr:twoCellAnchor>
  <xdr:twoCellAnchor>
    <xdr:from>
      <xdr:col>3</xdr:col>
      <xdr:colOff>447675</xdr:colOff>
      <xdr:row>6</xdr:row>
      <xdr:rowOff>95250</xdr:rowOff>
    </xdr:from>
    <xdr:to>
      <xdr:col>5</xdr:col>
      <xdr:colOff>190500</xdr:colOff>
      <xdr:row>8</xdr:row>
      <xdr:rowOff>133350</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2276475" y="1238250"/>
          <a:ext cx="962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Arial Black" panose="020B0A04020102020204" pitchFamily="34" charset="0"/>
            </a:rPr>
            <a:t>150</a:t>
          </a:r>
        </a:p>
      </xdr:txBody>
    </xdr:sp>
    <xdr:clientData/>
  </xdr:twoCellAnchor>
  <xdr:twoCellAnchor>
    <xdr:from>
      <xdr:col>2</xdr:col>
      <xdr:colOff>333375</xdr:colOff>
      <xdr:row>9</xdr:row>
      <xdr:rowOff>180974</xdr:rowOff>
    </xdr:from>
    <xdr:to>
      <xdr:col>9</xdr:col>
      <xdr:colOff>600074</xdr:colOff>
      <xdr:row>23</xdr:row>
      <xdr:rowOff>149225</xdr:rowOff>
    </xdr:to>
    <xdr:sp macro="" textlink="">
      <xdr:nvSpPr>
        <xdr:cNvPr id="22" name="Rounded Rectangle 21">
          <a:extLst>
            <a:ext uri="{FF2B5EF4-FFF2-40B4-BE49-F238E27FC236}">
              <a16:creationId xmlns:a16="http://schemas.microsoft.com/office/drawing/2014/main" id="{00000000-0008-0000-0100-000016000000}"/>
            </a:ext>
          </a:extLst>
        </xdr:cNvPr>
        <xdr:cNvSpPr/>
      </xdr:nvSpPr>
      <xdr:spPr>
        <a:xfrm>
          <a:off x="1552575" y="1895474"/>
          <a:ext cx="4533899" cy="2635251"/>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133350</xdr:colOff>
      <xdr:row>9</xdr:row>
      <xdr:rowOff>126999</xdr:rowOff>
    </xdr:from>
    <xdr:to>
      <xdr:col>17</xdr:col>
      <xdr:colOff>400049</xdr:colOff>
      <xdr:row>23</xdr:row>
      <xdr:rowOff>95250</xdr:rowOff>
    </xdr:to>
    <xdr:sp macro="" textlink="">
      <xdr:nvSpPr>
        <xdr:cNvPr id="23" name="Rounded Rectangle 22">
          <a:extLst>
            <a:ext uri="{FF2B5EF4-FFF2-40B4-BE49-F238E27FC236}">
              <a16:creationId xmlns:a16="http://schemas.microsoft.com/office/drawing/2014/main" id="{00000000-0008-0000-0100-000017000000}"/>
            </a:ext>
          </a:extLst>
        </xdr:cNvPr>
        <xdr:cNvSpPr/>
      </xdr:nvSpPr>
      <xdr:spPr>
        <a:xfrm>
          <a:off x="6229350" y="1841499"/>
          <a:ext cx="4533899" cy="2635251"/>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247649</xdr:colOff>
      <xdr:row>4</xdr:row>
      <xdr:rowOff>180975</xdr:rowOff>
    </xdr:from>
    <xdr:to>
      <xdr:col>9</xdr:col>
      <xdr:colOff>533400</xdr:colOff>
      <xdr:row>8</xdr:row>
      <xdr:rowOff>180975</xdr:rowOff>
    </xdr:to>
    <xdr:sp macro="" textlink="">
      <xdr:nvSpPr>
        <xdr:cNvPr id="29" name="Rounded Rectangle 28">
          <a:extLst>
            <a:ext uri="{FF2B5EF4-FFF2-40B4-BE49-F238E27FC236}">
              <a16:creationId xmlns:a16="http://schemas.microsoft.com/office/drawing/2014/main" id="{00000000-0008-0000-0100-00001D000000}"/>
            </a:ext>
          </a:extLst>
        </xdr:cNvPr>
        <xdr:cNvSpPr/>
      </xdr:nvSpPr>
      <xdr:spPr>
        <a:xfrm>
          <a:off x="3905249" y="942975"/>
          <a:ext cx="2114551" cy="76200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142874</xdr:colOff>
      <xdr:row>5</xdr:row>
      <xdr:rowOff>28575</xdr:rowOff>
    </xdr:from>
    <xdr:to>
      <xdr:col>13</xdr:col>
      <xdr:colOff>428625</xdr:colOff>
      <xdr:row>9</xdr:row>
      <xdr:rowOff>28575</xdr:rowOff>
    </xdr:to>
    <xdr:sp macro="" textlink="">
      <xdr:nvSpPr>
        <xdr:cNvPr id="30" name="Rounded Rectangle 29">
          <a:extLst>
            <a:ext uri="{FF2B5EF4-FFF2-40B4-BE49-F238E27FC236}">
              <a16:creationId xmlns:a16="http://schemas.microsoft.com/office/drawing/2014/main" id="{00000000-0008-0000-0100-00001E000000}"/>
            </a:ext>
          </a:extLst>
        </xdr:cNvPr>
        <xdr:cNvSpPr/>
      </xdr:nvSpPr>
      <xdr:spPr>
        <a:xfrm>
          <a:off x="6238874" y="981075"/>
          <a:ext cx="2114551" cy="76200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14</xdr:col>
      <xdr:colOff>28574</xdr:colOff>
      <xdr:row>5</xdr:row>
      <xdr:rowOff>47625</xdr:rowOff>
    </xdr:from>
    <xdr:to>
      <xdr:col>17</xdr:col>
      <xdr:colOff>314325</xdr:colOff>
      <xdr:row>9</xdr:row>
      <xdr:rowOff>47625</xdr:rowOff>
    </xdr:to>
    <xdr:sp macro="" textlink="">
      <xdr:nvSpPr>
        <xdr:cNvPr id="31" name="Rounded Rectangle 30">
          <a:extLst>
            <a:ext uri="{FF2B5EF4-FFF2-40B4-BE49-F238E27FC236}">
              <a16:creationId xmlns:a16="http://schemas.microsoft.com/office/drawing/2014/main" id="{00000000-0008-0000-0100-00001F000000}"/>
            </a:ext>
          </a:extLst>
        </xdr:cNvPr>
        <xdr:cNvSpPr/>
      </xdr:nvSpPr>
      <xdr:spPr>
        <a:xfrm>
          <a:off x="8562974" y="1000125"/>
          <a:ext cx="2114551" cy="76200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428625</xdr:colOff>
      <xdr:row>10</xdr:row>
      <xdr:rowOff>123824</xdr:rowOff>
    </xdr:from>
    <xdr:to>
      <xdr:col>9</xdr:col>
      <xdr:colOff>485775</xdr:colOff>
      <xdr:row>22</xdr:row>
      <xdr:rowOff>152399</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304799</xdr:colOff>
      <xdr:row>10</xdr:row>
      <xdr:rowOff>28575</xdr:rowOff>
    </xdr:from>
    <xdr:to>
      <xdr:col>17</xdr:col>
      <xdr:colOff>266700</xdr:colOff>
      <xdr:row>23</xdr:row>
      <xdr:rowOff>38101</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352425</xdr:colOff>
      <xdr:row>24</xdr:row>
      <xdr:rowOff>41274</xdr:rowOff>
    </xdr:from>
    <xdr:to>
      <xdr:col>10</xdr:col>
      <xdr:colOff>9524</xdr:colOff>
      <xdr:row>38</xdr:row>
      <xdr:rowOff>9525</xdr:rowOff>
    </xdr:to>
    <xdr:sp macro="" textlink="">
      <xdr:nvSpPr>
        <xdr:cNvPr id="35" name="Rounded Rectangle 34">
          <a:extLst>
            <a:ext uri="{FF2B5EF4-FFF2-40B4-BE49-F238E27FC236}">
              <a16:creationId xmlns:a16="http://schemas.microsoft.com/office/drawing/2014/main" id="{00000000-0008-0000-0100-000023000000}"/>
            </a:ext>
          </a:extLst>
        </xdr:cNvPr>
        <xdr:cNvSpPr/>
      </xdr:nvSpPr>
      <xdr:spPr>
        <a:xfrm>
          <a:off x="1571625" y="4613274"/>
          <a:ext cx="4533899" cy="2635251"/>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101601</xdr:colOff>
      <xdr:row>24</xdr:row>
      <xdr:rowOff>25401</xdr:rowOff>
    </xdr:from>
    <xdr:to>
      <xdr:col>17</xdr:col>
      <xdr:colOff>368301</xdr:colOff>
      <xdr:row>38</xdr:row>
      <xdr:rowOff>44451</xdr:rowOff>
    </xdr:to>
    <xdr:sp macro="" textlink="">
      <xdr:nvSpPr>
        <xdr:cNvPr id="36" name="Rounded Rectangle 35">
          <a:extLst>
            <a:ext uri="{FF2B5EF4-FFF2-40B4-BE49-F238E27FC236}">
              <a16:creationId xmlns:a16="http://schemas.microsoft.com/office/drawing/2014/main" id="{00000000-0008-0000-0100-000024000000}"/>
            </a:ext>
          </a:extLst>
        </xdr:cNvPr>
        <xdr:cNvSpPr/>
      </xdr:nvSpPr>
      <xdr:spPr>
        <a:xfrm>
          <a:off x="6197601" y="4597401"/>
          <a:ext cx="4533900" cy="268605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390524</xdr:colOff>
      <xdr:row>24</xdr:row>
      <xdr:rowOff>123824</xdr:rowOff>
    </xdr:from>
    <xdr:to>
      <xdr:col>9</xdr:col>
      <xdr:colOff>447675</xdr:colOff>
      <xdr:row>37</xdr:row>
      <xdr:rowOff>161925</xdr:rowOff>
    </xdr:to>
    <xdr:graphicFrame macro="">
      <xdr:nvGraphicFramePr>
        <xdr:cNvPr id="37" name="Chart 36">
          <a:extLst>
            <a:ext uri="{FF2B5EF4-FFF2-40B4-BE49-F238E27FC236}">
              <a16:creationId xmlns:a16="http://schemas.microsoft.com/office/drawing/2014/main" id="{00000000-0008-0000-01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304800</xdr:colOff>
      <xdr:row>25</xdr:row>
      <xdr:rowOff>19051</xdr:rowOff>
    </xdr:from>
    <xdr:to>
      <xdr:col>17</xdr:col>
      <xdr:colOff>333376</xdr:colOff>
      <xdr:row>38</xdr:row>
      <xdr:rowOff>19051</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50800</xdr:colOff>
      <xdr:row>5</xdr:row>
      <xdr:rowOff>69851</xdr:rowOff>
    </xdr:from>
    <xdr:to>
      <xdr:col>2</xdr:col>
      <xdr:colOff>203200</xdr:colOff>
      <xdr:row>15</xdr:row>
      <xdr:rowOff>107951</xdr:rowOff>
    </xdr:to>
    <mc:AlternateContent xmlns:mc="http://schemas.openxmlformats.org/markup-compatibility/2006" xmlns:a14="http://schemas.microsoft.com/office/drawing/2010/main">
      <mc:Choice Requires="a14">
        <xdr:graphicFrame macro="">
          <xdr:nvGraphicFramePr>
            <xdr:cNvPr id="25" name="Transport_Method 1">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microsoft.com/office/drawing/2010/slicer">
              <sle:slicer xmlns:sle="http://schemas.microsoft.com/office/drawing/2010/slicer" name="Transport_Method 1"/>
            </a:graphicData>
          </a:graphic>
        </xdr:graphicFrame>
      </mc:Choice>
      <mc:Fallback xmlns="">
        <xdr:sp macro="" textlink="">
          <xdr:nvSpPr>
            <xdr:cNvPr id="0" name=""/>
            <xdr:cNvSpPr>
              <a:spLocks noTextEdit="1"/>
            </xdr:cNvSpPr>
          </xdr:nvSpPr>
          <xdr:spPr>
            <a:xfrm>
              <a:off x="50800" y="1022351"/>
              <a:ext cx="13716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443890</xdr:colOff>
      <xdr:row>5</xdr:row>
      <xdr:rowOff>88900</xdr:rowOff>
    </xdr:from>
    <xdr:to>
      <xdr:col>3</xdr:col>
      <xdr:colOff>291490</xdr:colOff>
      <xdr:row>7</xdr:row>
      <xdr:rowOff>165100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663090" y="1041400"/>
          <a:ext cx="457200" cy="457200"/>
        </a:xfrm>
        <a:prstGeom prst="rect">
          <a:avLst/>
        </a:prstGeom>
      </xdr:spPr>
    </xdr:pic>
    <xdr:clientData/>
  </xdr:twoCellAnchor>
  <xdr:twoCellAnchor editAs="oneCell">
    <xdr:from>
      <xdr:col>14</xdr:col>
      <xdr:colOff>101600</xdr:colOff>
      <xdr:row>5</xdr:row>
      <xdr:rowOff>165100</xdr:rowOff>
    </xdr:from>
    <xdr:to>
      <xdr:col>14</xdr:col>
      <xdr:colOff>508000</xdr:colOff>
      <xdr:row>8</xdr:row>
      <xdr:rowOff>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36000" y="1117600"/>
          <a:ext cx="406400" cy="406400"/>
        </a:xfrm>
        <a:prstGeom prst="rect">
          <a:avLst/>
        </a:prstGeom>
      </xdr:spPr>
    </xdr:pic>
    <xdr:clientData/>
  </xdr:twoCellAnchor>
  <xdr:twoCellAnchor>
    <xdr:from>
      <xdr:col>3</xdr:col>
      <xdr:colOff>241300</xdr:colOff>
      <xdr:row>4</xdr:row>
      <xdr:rowOff>165100</xdr:rowOff>
    </xdr:from>
    <xdr:to>
      <xdr:col>5</xdr:col>
      <xdr:colOff>558800</xdr:colOff>
      <xdr:row>6</xdr:row>
      <xdr:rowOff>101600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2070100" y="927100"/>
          <a:ext cx="153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Black" panose="020B0A04020102020204" pitchFamily="34" charset="0"/>
            </a:rPr>
            <a:t>TOTAL</a:t>
          </a:r>
          <a:r>
            <a:rPr lang="en-US" sz="1100" b="1" baseline="0">
              <a:latin typeface="Arial Black" panose="020B0A04020102020204" pitchFamily="34" charset="0"/>
            </a:rPr>
            <a:t> FARMERS</a:t>
          </a:r>
          <a:endParaRPr lang="en-US" sz="1100" b="1">
            <a:latin typeface="Arial Black" panose="020B0A04020102020204" pitchFamily="34" charset="0"/>
          </a:endParaRPr>
        </a:p>
      </xdr:txBody>
    </xdr:sp>
    <xdr:clientData/>
  </xdr:twoCellAnchor>
  <xdr:twoCellAnchor>
    <xdr:from>
      <xdr:col>6</xdr:col>
      <xdr:colOff>266700</xdr:colOff>
      <xdr:row>4</xdr:row>
      <xdr:rowOff>165100</xdr:rowOff>
    </xdr:from>
    <xdr:to>
      <xdr:col>9</xdr:col>
      <xdr:colOff>469900</xdr:colOff>
      <xdr:row>6</xdr:row>
      <xdr:rowOff>88900</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3924300" y="927100"/>
          <a:ext cx="2032000" cy="304800"/>
        </a:xfrm>
        <a:prstGeom prst="rect">
          <a:avLst/>
        </a:prstGeom>
        <a:noFill/>
        <a:ln w="9525">
          <a:noFill/>
          <a:miter lim="800000"/>
          <a:headEnd/>
          <a:tailEnd/>
        </a:ln>
      </xdr:spPr>
      <xdr:txBody>
        <a:bodyPr/>
        <a:lstStyle/>
        <a:p>
          <a:pPr algn="ctr"/>
          <a:r>
            <a:rPr lang="en-US" sz="1100" b="1">
              <a:latin typeface="Arial Black" panose="020B0A04020102020204" pitchFamily="34" charset="0"/>
            </a:rPr>
            <a:t>AVERAGE</a:t>
          </a:r>
          <a:r>
            <a:rPr lang="en-US" sz="1100" b="1" baseline="0">
              <a:latin typeface="Arial Black" panose="020B0A04020102020204" pitchFamily="34" charset="0"/>
            </a:rPr>
            <a:t> LOSS RATE</a:t>
          </a:r>
          <a:endParaRPr lang="en-US" sz="1100" b="1">
            <a:latin typeface="Arial Black" panose="020B0A04020102020204" pitchFamily="34" charset="0"/>
          </a:endParaRPr>
        </a:p>
      </xdr:txBody>
    </xdr:sp>
    <xdr:clientData/>
  </xdr:twoCellAnchor>
  <xdr:twoCellAnchor editAs="oneCell">
    <xdr:from>
      <xdr:col>10</xdr:col>
      <xdr:colOff>215900</xdr:colOff>
      <xdr:row>5</xdr:row>
      <xdr:rowOff>101600</xdr:rowOff>
    </xdr:from>
    <xdr:to>
      <xdr:col>11</xdr:col>
      <xdr:colOff>101600</xdr:colOff>
      <xdr:row>7</xdr:row>
      <xdr:rowOff>190499</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311900" y="1054100"/>
          <a:ext cx="495300" cy="469899"/>
        </a:xfrm>
        <a:prstGeom prst="rect">
          <a:avLst/>
        </a:prstGeom>
      </xdr:spPr>
    </xdr:pic>
    <xdr:clientData/>
  </xdr:twoCellAnchor>
  <xdr:twoCellAnchor>
    <xdr:from>
      <xdr:col>11</xdr:col>
      <xdr:colOff>88900</xdr:colOff>
      <xdr:row>5</xdr:row>
      <xdr:rowOff>63499</xdr:rowOff>
    </xdr:from>
    <xdr:to>
      <xdr:col>13</xdr:col>
      <xdr:colOff>279400</xdr:colOff>
      <xdr:row>7</xdr:row>
      <xdr:rowOff>38100</xdr:rowOff>
    </xdr:to>
    <xdr:sp macro="" textlink="">
      <xdr:nvSpPr>
        <xdr:cNvPr id="34" name="Text Box 2">
          <a:extLst>
            <a:ext uri="{FF2B5EF4-FFF2-40B4-BE49-F238E27FC236}">
              <a16:creationId xmlns:a16="http://schemas.microsoft.com/office/drawing/2014/main" id="{00000000-0008-0000-0100-000022000000}"/>
            </a:ext>
          </a:extLst>
        </xdr:cNvPr>
        <xdr:cNvSpPr txBox="1">
          <a:spLocks noChangeArrowheads="1"/>
        </xdr:cNvSpPr>
      </xdr:nvSpPr>
      <xdr:spPr bwMode="auto">
        <a:xfrm>
          <a:off x="6794500" y="1015999"/>
          <a:ext cx="1409700" cy="355601"/>
        </a:xfrm>
        <a:prstGeom prst="rect">
          <a:avLst/>
        </a:prstGeom>
        <a:noFill/>
        <a:ln w="9525">
          <a:noFill/>
          <a:miter lim="800000"/>
          <a:headEnd/>
          <a:tailEnd/>
        </a:ln>
      </xdr:spPr>
      <xdr:txBody>
        <a:bodyPr/>
        <a:lstStyle/>
        <a:p>
          <a:pPr algn="ctr"/>
          <a:r>
            <a:rPr lang="en-US" b="1">
              <a:latin typeface="Arial Black" panose="020B0A04020102020204" pitchFamily="34" charset="0"/>
            </a:rPr>
            <a:t>HIGHEST</a:t>
          </a:r>
          <a:r>
            <a:rPr lang="en-US" b="1" baseline="0">
              <a:latin typeface="Arial Black" panose="020B0A04020102020204" pitchFamily="34" charset="0"/>
            </a:rPr>
            <a:t> LOSS</a:t>
          </a:r>
          <a:endParaRPr lang="en-US" b="1">
            <a:latin typeface="Arial Black" panose="020B0A04020102020204" pitchFamily="34" charset="0"/>
          </a:endParaRPr>
        </a:p>
      </xdr:txBody>
    </xdr:sp>
    <xdr:clientData/>
  </xdr:twoCellAnchor>
  <xdr:twoCellAnchor>
    <xdr:from>
      <xdr:col>14</xdr:col>
      <xdr:colOff>342900</xdr:colOff>
      <xdr:row>5</xdr:row>
      <xdr:rowOff>76200</xdr:rowOff>
    </xdr:from>
    <xdr:to>
      <xdr:col>17</xdr:col>
      <xdr:colOff>520700</xdr:colOff>
      <xdr:row>6</xdr:row>
      <xdr:rowOff>165100</xdr:rowOff>
    </xdr:to>
    <xdr:sp macro="" textlink="">
      <xdr:nvSpPr>
        <xdr:cNvPr id="41" name="Text Box 2">
          <a:extLst>
            <a:ext uri="{FF2B5EF4-FFF2-40B4-BE49-F238E27FC236}">
              <a16:creationId xmlns:a16="http://schemas.microsoft.com/office/drawing/2014/main" id="{00000000-0008-0000-0100-000029000000}"/>
            </a:ext>
          </a:extLst>
        </xdr:cNvPr>
        <xdr:cNvSpPr txBox="1">
          <a:spLocks noChangeArrowheads="1"/>
        </xdr:cNvSpPr>
      </xdr:nvSpPr>
      <xdr:spPr bwMode="auto">
        <a:xfrm>
          <a:off x="8877300" y="1028700"/>
          <a:ext cx="2006600" cy="279400"/>
        </a:xfrm>
        <a:prstGeom prst="rect">
          <a:avLst/>
        </a:prstGeom>
        <a:noFill/>
        <a:ln w="9525">
          <a:noFill/>
          <a:miter lim="800000"/>
          <a:headEnd/>
          <a:tailEnd/>
        </a:ln>
      </xdr:spPr>
      <xdr:txBody>
        <a:bodyPr/>
        <a:lstStyle/>
        <a:p>
          <a:r>
            <a:rPr lang="en-US" b="1">
              <a:latin typeface="Arial Black" panose="020B0A04020102020204" pitchFamily="34" charset="0"/>
            </a:rPr>
            <a:t>HIGH</a:t>
          </a:r>
          <a:r>
            <a:rPr lang="en-US" b="1" baseline="0">
              <a:latin typeface="Arial Black" panose="020B0A04020102020204" pitchFamily="34" charset="0"/>
            </a:rPr>
            <a:t> LOSS FARMERS</a:t>
          </a:r>
          <a:endParaRPr lang="en-US" b="1">
            <a:latin typeface="Arial Black" panose="020B0A04020102020204" pitchFamily="34" charset="0"/>
          </a:endParaRPr>
        </a:p>
      </xdr:txBody>
    </xdr:sp>
    <xdr:clientData/>
  </xdr:twoCellAnchor>
  <xdr:twoCellAnchor>
    <xdr:from>
      <xdr:col>7</xdr:col>
      <xdr:colOff>88900</xdr:colOff>
      <xdr:row>6</xdr:row>
      <xdr:rowOff>101600</xdr:rowOff>
    </xdr:from>
    <xdr:to>
      <xdr:col>8</xdr:col>
      <xdr:colOff>508000</xdr:colOff>
      <xdr:row>8</xdr:row>
      <xdr:rowOff>50800</xdr:rowOff>
    </xdr:to>
    <xdr:sp macro="" textlink="">
      <xdr:nvSpPr>
        <xdr:cNvPr id="39" name="Text Box 2">
          <a:extLst>
            <a:ext uri="{FF2B5EF4-FFF2-40B4-BE49-F238E27FC236}">
              <a16:creationId xmlns:a16="http://schemas.microsoft.com/office/drawing/2014/main" id="{00000000-0008-0000-0100-000027000000}"/>
            </a:ext>
          </a:extLst>
        </xdr:cNvPr>
        <xdr:cNvSpPr txBox="1">
          <a:spLocks noChangeArrowheads="1"/>
        </xdr:cNvSpPr>
      </xdr:nvSpPr>
      <xdr:spPr bwMode="auto">
        <a:xfrm>
          <a:off x="4356100" y="1244600"/>
          <a:ext cx="1028700" cy="330200"/>
        </a:xfrm>
        <a:prstGeom prst="rect">
          <a:avLst/>
        </a:prstGeom>
        <a:noFill/>
        <a:ln w="9525">
          <a:noFill/>
          <a:miter lim="800000"/>
          <a:headEnd/>
          <a:tailEnd/>
        </a:ln>
      </xdr:spPr>
      <xdr:txBody>
        <a:bodyPr/>
        <a:lstStyle/>
        <a:p>
          <a:r>
            <a:rPr lang="en-US" sz="1600">
              <a:latin typeface="Arial Black" panose="020B0A04020102020204" pitchFamily="34" charset="0"/>
            </a:rPr>
            <a:t>13.67%</a:t>
          </a:r>
        </a:p>
      </xdr:txBody>
    </xdr:sp>
    <xdr:clientData/>
  </xdr:twoCellAnchor>
  <xdr:twoCellAnchor>
    <xdr:from>
      <xdr:col>11</xdr:col>
      <xdr:colOff>279400</xdr:colOff>
      <xdr:row>6</xdr:row>
      <xdr:rowOff>152401</xdr:rowOff>
    </xdr:from>
    <xdr:to>
      <xdr:col>13</xdr:col>
      <xdr:colOff>266700</xdr:colOff>
      <xdr:row>8</xdr:row>
      <xdr:rowOff>114301</xdr:rowOff>
    </xdr:to>
    <xdr:sp macro="" textlink="">
      <xdr:nvSpPr>
        <xdr:cNvPr id="42" name="Text Box 2">
          <a:extLst>
            <a:ext uri="{FF2B5EF4-FFF2-40B4-BE49-F238E27FC236}">
              <a16:creationId xmlns:a16="http://schemas.microsoft.com/office/drawing/2014/main" id="{00000000-0008-0000-0100-00002A000000}"/>
            </a:ext>
          </a:extLst>
        </xdr:cNvPr>
        <xdr:cNvSpPr txBox="1">
          <a:spLocks noChangeArrowheads="1"/>
        </xdr:cNvSpPr>
      </xdr:nvSpPr>
      <xdr:spPr bwMode="auto">
        <a:xfrm>
          <a:off x="6985000" y="1295401"/>
          <a:ext cx="1206500" cy="342900"/>
        </a:xfrm>
        <a:prstGeom prst="rect">
          <a:avLst/>
        </a:prstGeom>
        <a:noFill/>
        <a:ln w="9525">
          <a:noFill/>
          <a:miter lim="800000"/>
          <a:headEnd/>
          <a:tailEnd/>
        </a:ln>
      </xdr:spPr>
      <xdr:txBody>
        <a:bodyPr/>
        <a:lstStyle/>
        <a:p>
          <a:r>
            <a:rPr lang="en-US" sz="1600">
              <a:latin typeface="Arial Black" panose="020B0A04020102020204" pitchFamily="34" charset="0"/>
            </a:rPr>
            <a:t>28.69%</a:t>
          </a:r>
        </a:p>
      </xdr:txBody>
    </xdr:sp>
    <xdr:clientData/>
  </xdr:twoCellAnchor>
  <xdr:twoCellAnchor>
    <xdr:from>
      <xdr:col>15</xdr:col>
      <xdr:colOff>292100</xdr:colOff>
      <xdr:row>6</xdr:row>
      <xdr:rowOff>114300</xdr:rowOff>
    </xdr:from>
    <xdr:to>
      <xdr:col>16</xdr:col>
      <xdr:colOff>419100</xdr:colOff>
      <xdr:row>8</xdr:row>
      <xdr:rowOff>76199</xdr:rowOff>
    </xdr:to>
    <xdr:sp macro="" textlink="">
      <xdr:nvSpPr>
        <xdr:cNvPr id="43" name="Text Box 2">
          <a:extLst>
            <a:ext uri="{FF2B5EF4-FFF2-40B4-BE49-F238E27FC236}">
              <a16:creationId xmlns:a16="http://schemas.microsoft.com/office/drawing/2014/main" id="{00000000-0008-0000-0100-00002B000000}"/>
            </a:ext>
          </a:extLst>
        </xdr:cNvPr>
        <xdr:cNvSpPr txBox="1">
          <a:spLocks noChangeArrowheads="1"/>
        </xdr:cNvSpPr>
      </xdr:nvSpPr>
      <xdr:spPr bwMode="auto">
        <a:xfrm>
          <a:off x="9436100" y="1257300"/>
          <a:ext cx="736600" cy="342899"/>
        </a:xfrm>
        <a:prstGeom prst="rect">
          <a:avLst/>
        </a:prstGeom>
        <a:solidFill>
          <a:srgbClr val="FFFFFF"/>
        </a:solidFill>
        <a:ln w="9525">
          <a:noFill/>
          <a:miter lim="800000"/>
          <a:headEnd/>
          <a:tailEnd/>
        </a:ln>
      </xdr:spPr>
      <xdr:txBody>
        <a:bodyPr/>
        <a:lstStyle/>
        <a:p>
          <a:r>
            <a:rPr lang="en-US" sz="1800">
              <a:latin typeface="Arial Black" panose="020B0A04020102020204" pitchFamily="34" charset="0"/>
            </a:rPr>
            <a:t>13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1.830262037038" createdVersion="6" refreshedVersion="6" minRefreshableVersion="3" recordCount="150" xr:uid="{00000000-000A-0000-FFFF-FFFF26000000}">
  <cacheSource type="worksheet">
    <worksheetSource ref="A1:N151" sheet="Clean_Data"/>
  </cacheSource>
  <cacheFields count="14">
    <cacheField name="Farmer_ID" numFmtId="0">
      <sharedItems/>
    </cacheField>
    <cacheField name="Harvest_check" numFmtId="0">
      <sharedItems containsSemiMixedTypes="0" containsString="0" containsNumber="1" containsInteger="1" minValue="130" maxValue="2132"/>
    </cacheField>
    <cacheField name="Quantity_lost" numFmtId="0">
      <sharedItems containsSemiMixedTypes="0" containsString="0" containsNumber="1" containsInteger="1" minValue="5" maxValue="486"/>
    </cacheField>
    <cacheField name="Loss_rate" numFmtId="10">
      <sharedItems containsSemiMixedTypes="0" containsString="0" containsNumber="1" minValue="2.0491803278688523E-2" maxValue="0.28685258964143429"/>
    </cacheField>
    <cacheField name="Loss_rate_range" numFmtId="10">
      <sharedItems count="3">
        <s v="Lowest loss"/>
        <s v="Medium loss"/>
        <s v="Highest loss"/>
      </sharedItems>
    </cacheField>
    <cacheField name="Quantity_sold" numFmtId="0">
      <sharedItems containsSemiMixedTypes="0" containsString="0" containsNumber="1" containsInteger="1" minValue="117" maxValue="1588"/>
    </cacheField>
    <cacheField name="Storage_method" numFmtId="0">
      <sharedItems count="5">
        <s v="Improved storage"/>
        <s v="No storage"/>
        <s v="Traditional storage"/>
        <s v="cold storage"/>
        <s v="0" u="1"/>
      </sharedItems>
    </cacheField>
    <cacheField name="Transport_Method" numFmtId="0">
      <sharedItems count="5">
        <s v="Truck"/>
        <s v="Other"/>
        <s v="Motor cycle"/>
        <s v="Pick up"/>
        <s v="Bicycle"/>
      </sharedItems>
    </cacheField>
    <cacheField name="Distance_to_market" numFmtId="0">
      <sharedItems containsSemiMixedTypes="0" containsString="0" containsNumber="1" minValue="0" maxValue="56"/>
    </cacheField>
    <cacheField name="Days_Before_Sale" numFmtId="0">
      <sharedItems containsSemiMixedTypes="0" containsString="0" containsNumber="1" containsInteger="1" minValue="0" maxValue="8"/>
    </cacheField>
    <cacheField name="Days_category" numFmtId="0">
      <sharedItems count="4">
        <s v="Moderate delay"/>
        <s v="Quick sale"/>
        <s v="Long delay"/>
        <s v="Missing" u="1"/>
      </sharedItems>
    </cacheField>
    <cacheField name="Distance_category" numFmtId="0">
      <sharedItems count="4">
        <s v="Near"/>
        <s v="Far"/>
        <s v="Medium distance"/>
        <s v="Missing" u="1"/>
      </sharedItems>
    </cacheField>
    <cacheField name="Selling_price" numFmtId="0">
      <sharedItems containsSemiMixedTypes="0" containsString="0" containsNumber="1" containsInteger="1" minValue="0" maxValue="1964"/>
    </cacheField>
    <cacheField name="Revenue" numFmtId="0">
      <sharedItems containsSemiMixedTypes="0" containsString="0" containsNumber="1" containsInteger="1" minValue="0" maxValue="188529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s v="F074"/>
    <n v="1300"/>
    <n v="118"/>
    <n v="9.0769230769230769E-2"/>
    <x v="0"/>
    <n v="1120"/>
    <x v="0"/>
    <x v="0"/>
    <n v="7.6"/>
    <n v="3"/>
    <x v="0"/>
    <x v="0"/>
    <n v="1479"/>
    <n v="1656480"/>
  </r>
  <r>
    <s v="F019"/>
    <n v="334"/>
    <n v="54"/>
    <n v="0.16167664670658682"/>
    <x v="1"/>
    <n v="259"/>
    <x v="1"/>
    <x v="1"/>
    <n v="33.700000000000003"/>
    <n v="1"/>
    <x v="1"/>
    <x v="1"/>
    <n v="1124"/>
    <n v="291116"/>
  </r>
  <r>
    <s v="F119"/>
    <n v="1031"/>
    <n v="189"/>
    <n v="0.18331716779825413"/>
    <x v="1"/>
    <n v="775"/>
    <x v="2"/>
    <x v="2"/>
    <n v="29.4"/>
    <n v="4"/>
    <x v="2"/>
    <x v="2"/>
    <n v="1599"/>
    <n v="1239225"/>
  </r>
  <r>
    <s v="F079"/>
    <n v="578"/>
    <n v="42"/>
    <n v="7.2664359861591699E-2"/>
    <x v="0"/>
    <n v="534"/>
    <x v="0"/>
    <x v="3"/>
    <n v="16"/>
    <n v="1"/>
    <x v="1"/>
    <x v="2"/>
    <n v="1721"/>
    <n v="919014"/>
  </r>
  <r>
    <s v="F077"/>
    <n v="577"/>
    <n v="115"/>
    <n v="0.19930675909878684"/>
    <x v="1"/>
    <n v="422"/>
    <x v="2"/>
    <x v="2"/>
    <n v="9.5"/>
    <n v="7"/>
    <x v="2"/>
    <x v="0"/>
    <n v="962"/>
    <n v="405964"/>
  </r>
  <r>
    <s v="F032"/>
    <n v="1523"/>
    <n v="208"/>
    <n v="0.1365725541694025"/>
    <x v="1"/>
    <n v="1267"/>
    <x v="2"/>
    <x v="2"/>
    <n v="0"/>
    <n v="4"/>
    <x v="2"/>
    <x v="0"/>
    <n v="1488"/>
    <n v="1885296"/>
  </r>
  <r>
    <s v="F065"/>
    <n v="860"/>
    <n v="185"/>
    <n v="0.21511627906976744"/>
    <x v="2"/>
    <n v="635"/>
    <x v="1"/>
    <x v="1"/>
    <n v="7.4"/>
    <n v="6"/>
    <x v="2"/>
    <x v="0"/>
    <n v="1191"/>
    <n v="756285"/>
  </r>
  <r>
    <s v="F142"/>
    <n v="1129"/>
    <n v="155"/>
    <n v="0.13728963684676704"/>
    <x v="1"/>
    <n v="956"/>
    <x v="1"/>
    <x v="4"/>
    <n v="10.7"/>
    <n v="1"/>
    <x v="1"/>
    <x v="2"/>
    <n v="1452"/>
    <n v="1388112"/>
  </r>
  <r>
    <s v="F069"/>
    <n v="671"/>
    <n v="60"/>
    <n v="8.9418777943368111E-2"/>
    <x v="0"/>
    <n v="587"/>
    <x v="2"/>
    <x v="2"/>
    <n v="14.3"/>
    <n v="2"/>
    <x v="0"/>
    <x v="2"/>
    <n v="1305"/>
    <n v="766035"/>
  </r>
  <r>
    <s v="F083"/>
    <n v="1240"/>
    <n v="170"/>
    <n v="0.13709677419354838"/>
    <x v="1"/>
    <n v="972"/>
    <x v="0"/>
    <x v="2"/>
    <n v="3.3"/>
    <n v="5"/>
    <x v="2"/>
    <x v="0"/>
    <n v="1191"/>
    <n v="1157652"/>
  </r>
  <r>
    <s v="F111"/>
    <n v="191"/>
    <n v="22"/>
    <n v="0.11518324607329843"/>
    <x v="1"/>
    <n v="156"/>
    <x v="0"/>
    <x v="2"/>
    <n v="3.9"/>
    <n v="4"/>
    <x v="2"/>
    <x v="0"/>
    <n v="1604"/>
    <n v="250224"/>
  </r>
  <r>
    <s v="F013"/>
    <n v="628"/>
    <n v="121"/>
    <n v="0.1926751592356688"/>
    <x v="1"/>
    <n v="485"/>
    <x v="2"/>
    <x v="3"/>
    <n v="15.5"/>
    <n v="6"/>
    <x v="2"/>
    <x v="2"/>
    <n v="874"/>
    <n v="423890"/>
  </r>
  <r>
    <s v="F037"/>
    <n v="617"/>
    <n v="100"/>
    <n v="0.16207455429497569"/>
    <x v="1"/>
    <n v="506"/>
    <x v="1"/>
    <x v="0"/>
    <n v="6.8"/>
    <n v="4"/>
    <x v="2"/>
    <x v="0"/>
    <n v="1266"/>
    <n v="640596"/>
  </r>
  <r>
    <s v="F010"/>
    <n v="741"/>
    <n v="92"/>
    <n v="0.12415654520917679"/>
    <x v="1"/>
    <n v="620"/>
    <x v="2"/>
    <x v="3"/>
    <n v="13.7"/>
    <n v="1"/>
    <x v="1"/>
    <x v="2"/>
    <n v="1408"/>
    <n v="872960"/>
  </r>
  <r>
    <s v="F020"/>
    <n v="253"/>
    <n v="49"/>
    <n v="0.19367588932806323"/>
    <x v="1"/>
    <n v="190"/>
    <x v="0"/>
    <x v="4"/>
    <n v="39.1"/>
    <n v="5"/>
    <x v="2"/>
    <x v="1"/>
    <n v="771"/>
    <n v="146490"/>
  </r>
  <r>
    <s v="F057"/>
    <n v="347"/>
    <n v="49"/>
    <n v="0.14121037463976946"/>
    <x v="1"/>
    <n v="285"/>
    <x v="1"/>
    <x v="3"/>
    <n v="6.7"/>
    <n v="6"/>
    <x v="2"/>
    <x v="0"/>
    <n v="931"/>
    <n v="265335"/>
  </r>
  <r>
    <s v="F105"/>
    <n v="503"/>
    <n v="28"/>
    <n v="5.5666003976143144E-2"/>
    <x v="0"/>
    <n v="447"/>
    <x v="2"/>
    <x v="3"/>
    <n v="1.9"/>
    <n v="1"/>
    <x v="1"/>
    <x v="0"/>
    <n v="1132"/>
    <n v="506004"/>
  </r>
  <r>
    <s v="F070"/>
    <n v="386"/>
    <n v="60"/>
    <n v="0.15544041450777202"/>
    <x v="1"/>
    <n v="326"/>
    <x v="2"/>
    <x v="3"/>
    <n v="22"/>
    <n v="3"/>
    <x v="0"/>
    <x v="2"/>
    <n v="956"/>
    <n v="311656"/>
  </r>
  <r>
    <s v="F056"/>
    <n v="918"/>
    <n v="87"/>
    <n v="9.4771241830065356E-2"/>
    <x v="0"/>
    <n v="773"/>
    <x v="1"/>
    <x v="0"/>
    <n v="13.6"/>
    <n v="2"/>
    <x v="0"/>
    <x v="2"/>
    <n v="1166"/>
    <n v="901318"/>
  </r>
  <r>
    <s v="F133"/>
    <n v="307"/>
    <n v="72"/>
    <n v="0.23452768729641693"/>
    <x v="2"/>
    <n v="264"/>
    <x v="2"/>
    <x v="0"/>
    <n v="7.9"/>
    <n v="2"/>
    <x v="0"/>
    <x v="0"/>
    <n v="1350"/>
    <n v="356400"/>
  </r>
  <r>
    <s v="F030"/>
    <n v="468"/>
    <n v="75"/>
    <n v="0.16025641025641027"/>
    <x v="1"/>
    <n v="377"/>
    <x v="2"/>
    <x v="2"/>
    <n v="40.700000000000003"/>
    <n v="2"/>
    <x v="0"/>
    <x v="1"/>
    <n v="1410"/>
    <n v="531570"/>
  </r>
  <r>
    <s v="F128"/>
    <n v="403"/>
    <n v="77"/>
    <n v="0.19106699751861042"/>
    <x v="1"/>
    <n v="298"/>
    <x v="2"/>
    <x v="1"/>
    <n v="38"/>
    <n v="3"/>
    <x v="0"/>
    <x v="1"/>
    <n v="1576"/>
    <n v="469648"/>
  </r>
  <r>
    <s v="F027"/>
    <n v="292"/>
    <n v="36"/>
    <n v="0.12328767123287671"/>
    <x v="1"/>
    <n v="252"/>
    <x v="1"/>
    <x v="2"/>
    <n v="2.8"/>
    <n v="1"/>
    <x v="1"/>
    <x v="0"/>
    <n v="1283"/>
    <n v="323316"/>
  </r>
  <r>
    <s v="F129"/>
    <n v="581"/>
    <n v="60"/>
    <n v="0.10327022375215146"/>
    <x v="1"/>
    <n v="511"/>
    <x v="2"/>
    <x v="2"/>
    <n v="18.2"/>
    <n v="3"/>
    <x v="0"/>
    <x v="2"/>
    <n v="726"/>
    <n v="370986"/>
  </r>
  <r>
    <s v="F132"/>
    <n v="571"/>
    <n v="112"/>
    <n v="0.19614711033274956"/>
    <x v="1"/>
    <n v="451"/>
    <x v="1"/>
    <x v="3"/>
    <n v="24.4"/>
    <n v="4"/>
    <x v="2"/>
    <x v="2"/>
    <n v="1377"/>
    <n v="621027"/>
  </r>
  <r>
    <s v="F146"/>
    <n v="845"/>
    <n v="101"/>
    <n v="0.11952662721893491"/>
    <x v="1"/>
    <n v="727"/>
    <x v="2"/>
    <x v="2"/>
    <n v="4.8"/>
    <n v="4"/>
    <x v="2"/>
    <x v="0"/>
    <n v="1594"/>
    <n v="1158838"/>
  </r>
  <r>
    <s v="F109"/>
    <n v="634"/>
    <n v="102"/>
    <n v="0.16088328075709779"/>
    <x v="1"/>
    <n v="505"/>
    <x v="1"/>
    <x v="2"/>
    <n v="26"/>
    <n v="3"/>
    <x v="0"/>
    <x v="2"/>
    <n v="773"/>
    <n v="390365"/>
  </r>
  <r>
    <s v="F144"/>
    <n v="609"/>
    <n v="76"/>
    <n v="0.12479474548440066"/>
    <x v="1"/>
    <n v="529"/>
    <x v="2"/>
    <x v="0"/>
    <n v="3.2"/>
    <n v="4"/>
    <x v="2"/>
    <x v="0"/>
    <n v="703"/>
    <n v="371887"/>
  </r>
  <r>
    <s v="F046"/>
    <n v="370"/>
    <n v="60"/>
    <n v="0.16216216216216217"/>
    <x v="1"/>
    <n v="284"/>
    <x v="2"/>
    <x v="0"/>
    <n v="8.5"/>
    <n v="4"/>
    <x v="2"/>
    <x v="0"/>
    <n v="1516"/>
    <n v="430544"/>
  </r>
  <r>
    <s v="F031"/>
    <n v="395"/>
    <n v="34"/>
    <n v="8.6075949367088608E-2"/>
    <x v="0"/>
    <n v="341"/>
    <x v="0"/>
    <x v="0"/>
    <n v="4.4000000000000004"/>
    <n v="2"/>
    <x v="0"/>
    <x v="0"/>
    <n v="876"/>
    <n v="298716"/>
  </r>
  <r>
    <s v="F023"/>
    <n v="571"/>
    <n v="103"/>
    <n v="0.18038528896672504"/>
    <x v="1"/>
    <n v="437"/>
    <x v="2"/>
    <x v="2"/>
    <n v="43.5"/>
    <n v="3"/>
    <x v="0"/>
    <x v="1"/>
    <n v="1476"/>
    <n v="645012"/>
  </r>
  <r>
    <s v="F016"/>
    <n v="404"/>
    <n v="36"/>
    <n v="8.9108910891089105E-2"/>
    <x v="0"/>
    <n v="354"/>
    <x v="1"/>
    <x v="3"/>
    <n v="16.3"/>
    <n v="1"/>
    <x v="1"/>
    <x v="2"/>
    <n v="1304"/>
    <n v="461616"/>
  </r>
  <r>
    <s v="F066"/>
    <n v="1160"/>
    <n v="115"/>
    <n v="9.9137931034482762E-2"/>
    <x v="0"/>
    <n v="1020"/>
    <x v="2"/>
    <x v="3"/>
    <n v="6.2"/>
    <n v="5"/>
    <x v="2"/>
    <x v="0"/>
    <n v="654"/>
    <n v="667080"/>
  </r>
  <r>
    <s v="F012"/>
    <n v="426"/>
    <n v="72"/>
    <n v="0.16901408450704225"/>
    <x v="1"/>
    <n v="331"/>
    <x v="1"/>
    <x v="3"/>
    <n v="15"/>
    <n v="2"/>
    <x v="0"/>
    <x v="2"/>
    <n v="1339"/>
    <n v="443209"/>
  </r>
  <r>
    <s v="F043"/>
    <n v="516"/>
    <n v="26"/>
    <n v="5.0387596899224806E-2"/>
    <x v="0"/>
    <n v="470"/>
    <x v="0"/>
    <x v="1"/>
    <n v="6.2"/>
    <n v="1"/>
    <x v="1"/>
    <x v="0"/>
    <n v="1335"/>
    <n v="627450"/>
  </r>
  <r>
    <s v="F147"/>
    <n v="279"/>
    <n v="36"/>
    <n v="0.12903225806451613"/>
    <x v="1"/>
    <n v="233"/>
    <x v="2"/>
    <x v="3"/>
    <n v="12.3"/>
    <n v="3"/>
    <x v="0"/>
    <x v="2"/>
    <n v="1401"/>
    <n v="326433"/>
  </r>
  <r>
    <s v="F052"/>
    <n v="445"/>
    <n v="49"/>
    <n v="0.1101123595505618"/>
    <x v="1"/>
    <n v="391"/>
    <x v="0"/>
    <x v="0"/>
    <n v="3.7"/>
    <n v="5"/>
    <x v="2"/>
    <x v="0"/>
    <n v="1115"/>
    <n v="435965"/>
  </r>
  <r>
    <s v="F028"/>
    <n v="676"/>
    <n v="105"/>
    <n v="0.15532544378698224"/>
    <x v="1"/>
    <n v="548"/>
    <x v="1"/>
    <x v="3"/>
    <n v="12.2"/>
    <n v="6"/>
    <x v="2"/>
    <x v="2"/>
    <n v="1297"/>
    <n v="710756"/>
  </r>
  <r>
    <s v="F005"/>
    <n v="484"/>
    <n v="76"/>
    <n v="0.15702479338842976"/>
    <x v="1"/>
    <n v="403"/>
    <x v="1"/>
    <x v="0"/>
    <n v="4.7"/>
    <n v="2"/>
    <x v="0"/>
    <x v="0"/>
    <n v="1720"/>
    <n v="693160"/>
  </r>
  <r>
    <s v="F033"/>
    <n v="546"/>
    <n v="26"/>
    <n v="4.7619047619047616E-2"/>
    <x v="0"/>
    <n v="508"/>
    <x v="1"/>
    <x v="2"/>
    <n v="14.3"/>
    <n v="2"/>
    <x v="0"/>
    <x v="2"/>
    <n v="1016"/>
    <n v="516128"/>
  </r>
  <r>
    <s v="F143"/>
    <n v="227"/>
    <n v="23"/>
    <n v="0.1013215859030837"/>
    <x v="1"/>
    <n v="192"/>
    <x v="2"/>
    <x v="3"/>
    <n v="6.4"/>
    <n v="1"/>
    <x v="1"/>
    <x v="0"/>
    <n v="1039"/>
    <n v="199488"/>
  </r>
  <r>
    <s v="F086"/>
    <n v="529"/>
    <n v="47"/>
    <n v="8.8846880907372403E-2"/>
    <x v="0"/>
    <n v="349"/>
    <x v="1"/>
    <x v="2"/>
    <n v="3.1"/>
    <n v="2"/>
    <x v="0"/>
    <x v="0"/>
    <n v="920"/>
    <n v="321080"/>
  </r>
  <r>
    <s v="F087"/>
    <n v="910"/>
    <n v="72"/>
    <n v="7.9120879120879117E-2"/>
    <x v="0"/>
    <n v="733"/>
    <x v="2"/>
    <x v="2"/>
    <n v="8.9"/>
    <n v="3"/>
    <x v="0"/>
    <x v="0"/>
    <n v="1374"/>
    <n v="1007142"/>
  </r>
  <r>
    <s v="F017"/>
    <n v="315"/>
    <n v="48"/>
    <n v="0.15238095238095239"/>
    <x v="1"/>
    <n v="256"/>
    <x v="2"/>
    <x v="4"/>
    <n v="21.3"/>
    <n v="3"/>
    <x v="0"/>
    <x v="2"/>
    <n v="1022"/>
    <n v="261632"/>
  </r>
  <r>
    <s v="F011"/>
    <n v="426"/>
    <n v="95"/>
    <n v="0.22300469483568075"/>
    <x v="2"/>
    <n v="305"/>
    <x v="1"/>
    <x v="4"/>
    <n v="33"/>
    <n v="4"/>
    <x v="2"/>
    <x v="1"/>
    <n v="1247"/>
    <n v="380335"/>
  </r>
  <r>
    <s v="F082"/>
    <n v="669"/>
    <n v="145"/>
    <n v="0.21674140508221226"/>
    <x v="2"/>
    <n v="511"/>
    <x v="0"/>
    <x v="2"/>
    <n v="22.1"/>
    <n v="6"/>
    <x v="2"/>
    <x v="2"/>
    <n v="1083"/>
    <n v="553413"/>
  </r>
  <r>
    <s v="F134"/>
    <n v="714"/>
    <n v="97"/>
    <n v="0.13585434173669467"/>
    <x v="1"/>
    <n v="579"/>
    <x v="0"/>
    <x v="0"/>
    <n v="20.7"/>
    <n v="1"/>
    <x v="1"/>
    <x v="2"/>
    <n v="1134"/>
    <n v="656586"/>
  </r>
  <r>
    <s v="F138"/>
    <n v="461"/>
    <n v="81"/>
    <n v="0.175704989154013"/>
    <x v="1"/>
    <n v="372"/>
    <x v="1"/>
    <x v="4"/>
    <n v="13.6"/>
    <n v="3"/>
    <x v="0"/>
    <x v="2"/>
    <n v="1191"/>
    <n v="443052"/>
  </r>
  <r>
    <s v="F076"/>
    <n v="864"/>
    <n v="85"/>
    <n v="9.8379629629629636E-2"/>
    <x v="0"/>
    <n v="731"/>
    <x v="0"/>
    <x v="3"/>
    <n v="7"/>
    <n v="2"/>
    <x v="0"/>
    <x v="0"/>
    <n v="1342"/>
    <n v="981002"/>
  </r>
  <r>
    <s v="F110"/>
    <n v="528"/>
    <n v="79"/>
    <n v="0.14962121212121213"/>
    <x v="1"/>
    <n v="419"/>
    <x v="1"/>
    <x v="3"/>
    <n v="1.5"/>
    <n v="3"/>
    <x v="0"/>
    <x v="0"/>
    <n v="970"/>
    <n v="406430"/>
  </r>
  <r>
    <s v="F097"/>
    <n v="647"/>
    <n v="126"/>
    <n v="0.19474497681607419"/>
    <x v="1"/>
    <n v="514"/>
    <x v="1"/>
    <x v="0"/>
    <n v="15.9"/>
    <n v="6"/>
    <x v="2"/>
    <x v="2"/>
    <n v="1292"/>
    <n v="664088"/>
  </r>
  <r>
    <s v="F106"/>
    <n v="687"/>
    <n v="45"/>
    <n v="6.5502183406113537E-2"/>
    <x v="0"/>
    <n v="640"/>
    <x v="1"/>
    <x v="4"/>
    <n v="6.4"/>
    <n v="1"/>
    <x v="1"/>
    <x v="0"/>
    <n v="1231"/>
    <n v="787840"/>
  </r>
  <r>
    <s v="F067"/>
    <n v="529"/>
    <n v="52"/>
    <n v="9.8298676748582225E-2"/>
    <x v="0"/>
    <n v="443"/>
    <x v="0"/>
    <x v="0"/>
    <n v="12.9"/>
    <n v="2"/>
    <x v="0"/>
    <x v="2"/>
    <n v="1964"/>
    <n v="870052"/>
  </r>
  <r>
    <s v="F001"/>
    <n v="723"/>
    <n v="72"/>
    <n v="9.9585062240663894E-2"/>
    <x v="0"/>
    <n v="563"/>
    <x v="0"/>
    <x v="3"/>
    <n v="19"/>
    <n v="4"/>
    <x v="2"/>
    <x v="2"/>
    <n v="1233"/>
    <n v="694179"/>
  </r>
  <r>
    <s v="F123"/>
    <n v="1190"/>
    <n v="180"/>
    <n v="0.15126050420168066"/>
    <x v="1"/>
    <n v="940"/>
    <x v="2"/>
    <x v="2"/>
    <n v="24.8"/>
    <n v="2"/>
    <x v="0"/>
    <x v="2"/>
    <n v="1493"/>
    <n v="1403420"/>
  </r>
  <r>
    <s v="F068"/>
    <n v="955"/>
    <n v="96"/>
    <n v="0.10052356020942409"/>
    <x v="1"/>
    <n v="835"/>
    <x v="0"/>
    <x v="3"/>
    <n v="27.5"/>
    <n v="2"/>
    <x v="0"/>
    <x v="2"/>
    <n v="974"/>
    <n v="813290"/>
  </r>
  <r>
    <s v="F029"/>
    <n v="395"/>
    <n v="77"/>
    <n v="0.19493670886075951"/>
    <x v="1"/>
    <n v="288"/>
    <x v="3"/>
    <x v="0"/>
    <n v="24.2"/>
    <n v="7"/>
    <x v="2"/>
    <x v="2"/>
    <n v="1177"/>
    <n v="338976"/>
  </r>
  <r>
    <s v="F041"/>
    <n v="826"/>
    <n v="114"/>
    <n v="0.13801452784503632"/>
    <x v="1"/>
    <n v="688"/>
    <x v="2"/>
    <x v="0"/>
    <n v="7.8"/>
    <n v="4"/>
    <x v="2"/>
    <x v="0"/>
    <n v="838"/>
    <n v="576544"/>
  </r>
  <r>
    <s v="F045"/>
    <n v="244"/>
    <n v="5"/>
    <n v="2.0491803278688523E-2"/>
    <x v="0"/>
    <n v="235"/>
    <x v="0"/>
    <x v="3"/>
    <n v="15.3"/>
    <n v="1"/>
    <x v="1"/>
    <x v="2"/>
    <n v="1518"/>
    <n v="356730"/>
  </r>
  <r>
    <s v="F061"/>
    <n v="423"/>
    <n v="36"/>
    <n v="8.5106382978723402E-2"/>
    <x v="0"/>
    <n v="372"/>
    <x v="2"/>
    <x v="4"/>
    <n v="6"/>
    <n v="1"/>
    <x v="1"/>
    <x v="0"/>
    <n v="1202"/>
    <n v="447144"/>
  </r>
  <r>
    <s v="F124"/>
    <n v="254"/>
    <n v="30"/>
    <n v="0.11811023622047244"/>
    <x v="1"/>
    <n v="222"/>
    <x v="2"/>
    <x v="1"/>
    <n v="7"/>
    <n v="2"/>
    <x v="0"/>
    <x v="0"/>
    <n v="1082"/>
    <n v="240204"/>
  </r>
  <r>
    <s v="F025"/>
    <n v="408"/>
    <n v="86"/>
    <n v="0.2107843137254902"/>
    <x v="2"/>
    <n v="313"/>
    <x v="1"/>
    <x v="2"/>
    <n v="35.4"/>
    <n v="3"/>
    <x v="0"/>
    <x v="1"/>
    <n v="1261"/>
    <n v="394693"/>
  </r>
  <r>
    <s v="F026"/>
    <n v="585"/>
    <n v="60"/>
    <n v="0.10256410256410256"/>
    <x v="1"/>
    <n v="480"/>
    <x v="2"/>
    <x v="0"/>
    <n v="29.7"/>
    <n v="1"/>
    <x v="1"/>
    <x v="2"/>
    <n v="900"/>
    <n v="432000"/>
  </r>
  <r>
    <s v="F024"/>
    <n v="251"/>
    <n v="72"/>
    <n v="0.28685258964143429"/>
    <x v="2"/>
    <n v="207"/>
    <x v="2"/>
    <x v="2"/>
    <n v="23.2"/>
    <n v="2"/>
    <x v="0"/>
    <x v="2"/>
    <n v="619"/>
    <n v="128133"/>
  </r>
  <r>
    <s v="F095"/>
    <n v="443"/>
    <n v="34"/>
    <n v="7.6749435665914217E-2"/>
    <x v="0"/>
    <n v="406"/>
    <x v="0"/>
    <x v="3"/>
    <n v="19.399999999999999"/>
    <n v="2"/>
    <x v="0"/>
    <x v="2"/>
    <n v="1573"/>
    <n v="638638"/>
  </r>
  <r>
    <s v="F040"/>
    <n v="613"/>
    <n v="93"/>
    <n v="0.15171288743882544"/>
    <x v="1"/>
    <n v="488"/>
    <x v="1"/>
    <x v="2"/>
    <n v="9.9"/>
    <n v="2"/>
    <x v="0"/>
    <x v="0"/>
    <n v="1369"/>
    <n v="668072"/>
  </r>
  <r>
    <s v="F096"/>
    <n v="246"/>
    <n v="18"/>
    <n v="7.3170731707317069E-2"/>
    <x v="0"/>
    <n v="220"/>
    <x v="2"/>
    <x v="3"/>
    <n v="9.3000000000000007"/>
    <n v="1"/>
    <x v="1"/>
    <x v="0"/>
    <n v="1347"/>
    <n v="296340"/>
  </r>
  <r>
    <s v="F118"/>
    <n v="289"/>
    <n v="23"/>
    <n v="7.9584775086505188E-2"/>
    <x v="0"/>
    <n v="253"/>
    <x v="2"/>
    <x v="3"/>
    <n v="10.3"/>
    <n v="1"/>
    <x v="1"/>
    <x v="2"/>
    <n v="1483"/>
    <n v="375199"/>
  </r>
  <r>
    <s v="F048"/>
    <n v="984"/>
    <n v="72"/>
    <n v="7.3170731707317069E-2"/>
    <x v="0"/>
    <n v="873"/>
    <x v="0"/>
    <x v="4"/>
    <n v="13.7"/>
    <n v="1"/>
    <x v="1"/>
    <x v="2"/>
    <n v="1294"/>
    <n v="1129662"/>
  </r>
  <r>
    <s v="F098"/>
    <n v="635"/>
    <n v="86"/>
    <n v="0.13543307086614173"/>
    <x v="1"/>
    <n v="520"/>
    <x v="2"/>
    <x v="4"/>
    <n v="13.3"/>
    <n v="1"/>
    <x v="1"/>
    <x v="2"/>
    <n v="762"/>
    <n v="396240"/>
  </r>
  <r>
    <s v="F114"/>
    <n v="2132"/>
    <n v="486"/>
    <n v="0.22795497185741087"/>
    <x v="2"/>
    <n v="1588"/>
    <x v="1"/>
    <x v="0"/>
    <n v="56"/>
    <n v="2"/>
    <x v="0"/>
    <x v="1"/>
    <n v="864"/>
    <n v="1372032"/>
  </r>
  <r>
    <s v="F034"/>
    <n v="307"/>
    <n v="23"/>
    <n v="7.4918566775244305E-2"/>
    <x v="0"/>
    <n v="260"/>
    <x v="2"/>
    <x v="0"/>
    <n v="1.8"/>
    <n v="1"/>
    <x v="1"/>
    <x v="0"/>
    <n v="795"/>
    <n v="206700"/>
  </r>
  <r>
    <s v="F139"/>
    <n v="860"/>
    <n v="96"/>
    <n v="0.11162790697674418"/>
    <x v="1"/>
    <n v="695"/>
    <x v="0"/>
    <x v="2"/>
    <n v="15.6"/>
    <n v="3"/>
    <x v="0"/>
    <x v="2"/>
    <n v="953"/>
    <n v="662335"/>
  </r>
  <r>
    <s v="F102"/>
    <n v="436"/>
    <n v="83"/>
    <n v="0.19036697247706422"/>
    <x v="1"/>
    <n v="347"/>
    <x v="1"/>
    <x v="2"/>
    <n v="10.8"/>
    <n v="2"/>
    <x v="0"/>
    <x v="2"/>
    <n v="1388"/>
    <n v="481636"/>
  </r>
  <r>
    <s v="F063"/>
    <n v="529"/>
    <n v="40"/>
    <n v="7.5614366729678639E-2"/>
    <x v="0"/>
    <n v="247"/>
    <x v="2"/>
    <x v="3"/>
    <n v="26.8"/>
    <n v="3"/>
    <x v="0"/>
    <x v="2"/>
    <n v="1318"/>
    <n v="325546"/>
  </r>
  <r>
    <s v="F085"/>
    <n v="353"/>
    <n v="44"/>
    <n v="0.12464589235127478"/>
    <x v="1"/>
    <n v="295"/>
    <x v="2"/>
    <x v="3"/>
    <n v="23.1"/>
    <n v="1"/>
    <x v="1"/>
    <x v="2"/>
    <n v="1317"/>
    <n v="388515"/>
  </r>
  <r>
    <s v="F149"/>
    <n v="733"/>
    <n v="129"/>
    <n v="0.17598908594815826"/>
    <x v="1"/>
    <n v="561"/>
    <x v="2"/>
    <x v="3"/>
    <n v="14.3"/>
    <n v="5"/>
    <x v="2"/>
    <x v="2"/>
    <n v="787"/>
    <n v="441507"/>
  </r>
  <r>
    <s v="F054"/>
    <n v="770"/>
    <n v="111"/>
    <n v="0.14415584415584415"/>
    <x v="1"/>
    <n v="602"/>
    <x v="2"/>
    <x v="4"/>
    <n v="22.2"/>
    <n v="4"/>
    <x v="2"/>
    <x v="2"/>
    <n v="1213"/>
    <n v="730226"/>
  </r>
  <r>
    <s v="F006"/>
    <n v="484"/>
    <n v="50"/>
    <n v="0.10330578512396695"/>
    <x v="1"/>
    <n v="405"/>
    <x v="0"/>
    <x v="2"/>
    <n v="45.2"/>
    <n v="1"/>
    <x v="1"/>
    <x v="1"/>
    <n v="1173"/>
    <n v="475065"/>
  </r>
  <r>
    <s v="F094"/>
    <n v="459"/>
    <n v="67"/>
    <n v="0.14596949891067537"/>
    <x v="1"/>
    <n v="391"/>
    <x v="1"/>
    <x v="1"/>
    <n v="12.8"/>
    <n v="1"/>
    <x v="1"/>
    <x v="2"/>
    <n v="1289"/>
    <n v="503999"/>
  </r>
  <r>
    <s v="F112"/>
    <n v="542"/>
    <n v="91"/>
    <n v="0.16789667896678967"/>
    <x v="1"/>
    <n v="420"/>
    <x v="1"/>
    <x v="2"/>
    <n v="31.2"/>
    <n v="1"/>
    <x v="1"/>
    <x v="1"/>
    <n v="796"/>
    <n v="334320"/>
  </r>
  <r>
    <s v="F050"/>
    <n v="209"/>
    <n v="15"/>
    <n v="7.1770334928229665E-2"/>
    <x v="0"/>
    <n v="181"/>
    <x v="3"/>
    <x v="3"/>
    <n v="9.9"/>
    <n v="4"/>
    <x v="2"/>
    <x v="0"/>
    <n v="1121"/>
    <n v="202901"/>
  </r>
  <r>
    <s v="F036"/>
    <n v="281"/>
    <n v="52"/>
    <n v="0.18505338078291814"/>
    <x v="1"/>
    <n v="209"/>
    <x v="2"/>
    <x v="4"/>
    <n v="19.3"/>
    <n v="4"/>
    <x v="2"/>
    <x v="2"/>
    <n v="655"/>
    <n v="136895"/>
  </r>
  <r>
    <s v="F081"/>
    <n v="487"/>
    <n v="49"/>
    <n v="0.10061601642710473"/>
    <x v="1"/>
    <n v="434"/>
    <x v="2"/>
    <x v="3"/>
    <n v="8.8000000000000007"/>
    <n v="3"/>
    <x v="0"/>
    <x v="0"/>
    <n v="1280"/>
    <n v="555520"/>
  </r>
  <r>
    <s v="F078"/>
    <n v="467"/>
    <n v="83"/>
    <n v="0.17773019271948609"/>
    <x v="1"/>
    <n v="355"/>
    <x v="2"/>
    <x v="3"/>
    <n v="24.8"/>
    <n v="5"/>
    <x v="2"/>
    <x v="2"/>
    <n v="1192"/>
    <n v="423160"/>
  </r>
  <r>
    <s v="F035"/>
    <n v="865"/>
    <n v="119"/>
    <n v="0.1375722543352601"/>
    <x v="1"/>
    <n v="718"/>
    <x v="2"/>
    <x v="0"/>
    <n v="14"/>
    <n v="1"/>
    <x v="1"/>
    <x v="2"/>
    <n v="1129"/>
    <n v="810622"/>
  </r>
  <r>
    <s v="F115"/>
    <n v="495"/>
    <n v="79"/>
    <n v="0.1595959595959596"/>
    <x v="1"/>
    <n v="384"/>
    <x v="1"/>
    <x v="0"/>
    <n v="10.5"/>
    <n v="2"/>
    <x v="0"/>
    <x v="2"/>
    <n v="1044"/>
    <n v="400896"/>
  </r>
  <r>
    <s v="F008"/>
    <n v="839"/>
    <n v="72"/>
    <n v="8.5816448152562577E-2"/>
    <x v="0"/>
    <n v="690"/>
    <x v="1"/>
    <x v="0"/>
    <n v="10.4"/>
    <n v="3"/>
    <x v="0"/>
    <x v="2"/>
    <n v="775"/>
    <n v="534750"/>
  </r>
  <r>
    <s v="F044"/>
    <n v="466"/>
    <n v="75"/>
    <n v="0.1609442060085837"/>
    <x v="1"/>
    <n v="355"/>
    <x v="3"/>
    <x v="3"/>
    <n v="48.3"/>
    <n v="2"/>
    <x v="0"/>
    <x v="1"/>
    <n v="1420"/>
    <n v="504100"/>
  </r>
  <r>
    <s v="F071"/>
    <n v="671"/>
    <n v="67"/>
    <n v="9.9850968703427717E-2"/>
    <x v="0"/>
    <n v="600"/>
    <x v="2"/>
    <x v="0"/>
    <n v="8.9"/>
    <n v="2"/>
    <x v="0"/>
    <x v="0"/>
    <n v="1368"/>
    <n v="820800"/>
  </r>
  <r>
    <s v="F099"/>
    <n v="552"/>
    <n v="48"/>
    <n v="8.6956521739130432E-2"/>
    <x v="0"/>
    <n v="422"/>
    <x v="0"/>
    <x v="1"/>
    <n v="18.899999999999999"/>
    <n v="3"/>
    <x v="0"/>
    <x v="2"/>
    <n v="957"/>
    <n v="403854"/>
  </r>
  <r>
    <s v="F121"/>
    <n v="850"/>
    <n v="110"/>
    <n v="0.12941176470588237"/>
    <x v="1"/>
    <n v="696"/>
    <x v="1"/>
    <x v="2"/>
    <n v="12.2"/>
    <n v="3"/>
    <x v="0"/>
    <x v="2"/>
    <n v="1022"/>
    <n v="711312"/>
  </r>
  <r>
    <s v="F084"/>
    <n v="414"/>
    <n v="57"/>
    <n v="0.13768115942028986"/>
    <x v="1"/>
    <n v="352"/>
    <x v="1"/>
    <x v="0"/>
    <n v="15.5"/>
    <n v="3"/>
    <x v="0"/>
    <x v="2"/>
    <n v="1251"/>
    <n v="440352"/>
  </r>
  <r>
    <s v="F135"/>
    <n v="332"/>
    <n v="62"/>
    <n v="0.18674698795180722"/>
    <x v="1"/>
    <n v="257"/>
    <x v="1"/>
    <x v="3"/>
    <n v="40"/>
    <n v="2"/>
    <x v="0"/>
    <x v="1"/>
    <n v="1302"/>
    <n v="334614"/>
  </r>
  <r>
    <s v="F136"/>
    <n v="1290"/>
    <n v="201"/>
    <n v="0.1558139534883721"/>
    <x v="1"/>
    <n v="1032"/>
    <x v="1"/>
    <x v="0"/>
    <n v="14.3"/>
    <n v="3"/>
    <x v="0"/>
    <x v="2"/>
    <n v="1151"/>
    <n v="1187832"/>
  </r>
  <r>
    <s v="F090"/>
    <n v="729"/>
    <n v="60"/>
    <n v="8.2304526748971193E-2"/>
    <x v="0"/>
    <n v="650"/>
    <x v="2"/>
    <x v="0"/>
    <n v="9.5"/>
    <n v="1"/>
    <x v="1"/>
    <x v="0"/>
    <n v="999"/>
    <n v="649350"/>
  </r>
  <r>
    <s v="F009"/>
    <n v="425"/>
    <n v="82"/>
    <n v="0.19294117647058823"/>
    <x v="1"/>
    <n v="332"/>
    <x v="1"/>
    <x v="2"/>
    <n v="35.200000000000003"/>
    <n v="3"/>
    <x v="0"/>
    <x v="1"/>
    <n v="1191"/>
    <n v="395412"/>
  </r>
  <r>
    <s v="F014"/>
    <n v="192"/>
    <n v="20"/>
    <n v="0.10416666666666667"/>
    <x v="1"/>
    <n v="168"/>
    <x v="2"/>
    <x v="0"/>
    <n v="10.5"/>
    <n v="2"/>
    <x v="0"/>
    <x v="2"/>
    <n v="1558"/>
    <n v="261744"/>
  </r>
  <r>
    <s v="F120"/>
    <n v="832"/>
    <n v="96"/>
    <n v="0.11538461538461539"/>
    <x v="1"/>
    <n v="706"/>
    <x v="1"/>
    <x v="0"/>
    <n v="10"/>
    <n v="1"/>
    <x v="1"/>
    <x v="0"/>
    <n v="615"/>
    <n v="434190"/>
  </r>
  <r>
    <s v="F126"/>
    <n v="1835"/>
    <n v="411"/>
    <n v="0.22397820163487739"/>
    <x v="2"/>
    <n v="1388"/>
    <x v="1"/>
    <x v="4"/>
    <n v="46.3"/>
    <n v="4"/>
    <x v="2"/>
    <x v="1"/>
    <n v="899"/>
    <n v="1247812"/>
  </r>
  <r>
    <s v="F004"/>
    <n v="1271"/>
    <n v="127"/>
    <n v="9.9921321793863094E-2"/>
    <x v="0"/>
    <n v="1068"/>
    <x v="1"/>
    <x v="0"/>
    <n v="21"/>
    <n v="1"/>
    <x v="1"/>
    <x v="2"/>
    <n v="794"/>
    <n v="847992"/>
  </r>
  <r>
    <s v="F018"/>
    <n v="654"/>
    <n v="99"/>
    <n v="0.15137614678899083"/>
    <x v="1"/>
    <n v="546"/>
    <x v="1"/>
    <x v="3"/>
    <n v="3.7"/>
    <n v="3"/>
    <x v="0"/>
    <x v="0"/>
    <n v="1284"/>
    <n v="701064"/>
  </r>
  <r>
    <s v="F039"/>
    <n v="265"/>
    <n v="47"/>
    <n v="0.17735849056603772"/>
    <x v="1"/>
    <n v="217"/>
    <x v="1"/>
    <x v="2"/>
    <n v="28"/>
    <n v="2"/>
    <x v="0"/>
    <x v="2"/>
    <n v="1521"/>
    <n v="330057"/>
  </r>
  <r>
    <s v="F073"/>
    <n v="539"/>
    <n v="52"/>
    <n v="9.6474953617810763E-2"/>
    <x v="0"/>
    <n v="466"/>
    <x v="0"/>
    <x v="0"/>
    <n v="15.5"/>
    <n v="2"/>
    <x v="0"/>
    <x v="2"/>
    <n v="1031"/>
    <n v="480446"/>
  </r>
  <r>
    <s v="F137"/>
    <n v="357"/>
    <n v="36"/>
    <n v="0.10084033613445378"/>
    <x v="1"/>
    <n v="300"/>
    <x v="1"/>
    <x v="3"/>
    <n v="6.5"/>
    <n v="1"/>
    <x v="1"/>
    <x v="0"/>
    <n v="1344"/>
    <n v="403200"/>
  </r>
  <r>
    <s v="F007"/>
    <n v="1311"/>
    <n v="285"/>
    <n v="0.21739130434782608"/>
    <x v="2"/>
    <n v="1023"/>
    <x v="2"/>
    <x v="2"/>
    <n v="31.9"/>
    <n v="8"/>
    <x v="2"/>
    <x v="1"/>
    <n v="1663"/>
    <n v="1701249"/>
  </r>
  <r>
    <s v="F113"/>
    <n v="569"/>
    <n v="115"/>
    <n v="0.20210896309314588"/>
    <x v="2"/>
    <n v="418"/>
    <x v="2"/>
    <x v="2"/>
    <n v="23"/>
    <n v="6"/>
    <x v="2"/>
    <x v="2"/>
    <n v="1121"/>
    <n v="468578"/>
  </r>
  <r>
    <s v="F101"/>
    <n v="253"/>
    <n v="29"/>
    <n v="0.11462450592885376"/>
    <x v="1"/>
    <n v="220"/>
    <x v="2"/>
    <x v="3"/>
    <n v="19.7"/>
    <n v="3"/>
    <x v="0"/>
    <x v="2"/>
    <n v="1348"/>
    <n v="296560"/>
  </r>
  <r>
    <s v="F003"/>
    <n v="785"/>
    <n v="147"/>
    <n v="0.18726114649681527"/>
    <x v="1"/>
    <n v="577"/>
    <x v="2"/>
    <x v="3"/>
    <n v="7.1"/>
    <n v="7"/>
    <x v="2"/>
    <x v="0"/>
    <n v="966"/>
    <n v="557382"/>
  </r>
  <r>
    <s v="F064"/>
    <n v="285"/>
    <n v="36"/>
    <n v="0.12631578947368421"/>
    <x v="1"/>
    <n v="248"/>
    <x v="3"/>
    <x v="1"/>
    <n v="15.8"/>
    <n v="3"/>
    <x v="0"/>
    <x v="2"/>
    <n v="1165"/>
    <n v="288920"/>
  </r>
  <r>
    <s v="F055"/>
    <n v="970"/>
    <n v="70"/>
    <n v="7.2164948453608241E-2"/>
    <x v="0"/>
    <n v="422"/>
    <x v="0"/>
    <x v="3"/>
    <n v="18.600000000000001"/>
    <n v="2"/>
    <x v="0"/>
    <x v="2"/>
    <n v="1021"/>
    <n v="430862"/>
  </r>
  <r>
    <s v="F127"/>
    <n v="319"/>
    <n v="19"/>
    <n v="5.9561128526645767E-2"/>
    <x v="0"/>
    <n v="296"/>
    <x v="3"/>
    <x v="3"/>
    <n v="2.7"/>
    <n v="2"/>
    <x v="0"/>
    <x v="0"/>
    <n v="801"/>
    <n v="237096"/>
  </r>
  <r>
    <s v="F051"/>
    <n v="657"/>
    <n v="89"/>
    <n v="0.13546423135464231"/>
    <x v="1"/>
    <n v="535"/>
    <x v="3"/>
    <x v="0"/>
    <n v="9.5"/>
    <n v="5"/>
    <x v="2"/>
    <x v="0"/>
    <n v="1299"/>
    <n v="694965"/>
  </r>
  <r>
    <s v="F116"/>
    <n v="649"/>
    <n v="68"/>
    <n v="0.10477657935285054"/>
    <x v="1"/>
    <n v="577"/>
    <x v="3"/>
    <x v="3"/>
    <n v="7.4"/>
    <n v="3"/>
    <x v="0"/>
    <x v="0"/>
    <n v="1244"/>
    <n v="717788"/>
  </r>
  <r>
    <s v="F047"/>
    <n v="427"/>
    <n v="64"/>
    <n v="0.14988290398126464"/>
    <x v="1"/>
    <n v="336"/>
    <x v="1"/>
    <x v="3"/>
    <n v="17.399999999999999"/>
    <n v="2"/>
    <x v="0"/>
    <x v="2"/>
    <n v="1177"/>
    <n v="395472"/>
  </r>
  <r>
    <s v="F140"/>
    <n v="279"/>
    <n v="50"/>
    <n v="0.17921146953405018"/>
    <x v="1"/>
    <n v="207"/>
    <x v="2"/>
    <x v="2"/>
    <n v="30.4"/>
    <n v="2"/>
    <x v="0"/>
    <x v="1"/>
    <n v="974"/>
    <n v="201618"/>
  </r>
  <r>
    <s v="F062"/>
    <n v="497"/>
    <n v="116"/>
    <n v="0.23340040241448692"/>
    <x v="2"/>
    <n v="373"/>
    <x v="1"/>
    <x v="2"/>
    <n v="42"/>
    <n v="1"/>
    <x v="1"/>
    <x v="1"/>
    <n v="1236"/>
    <n v="461028"/>
  </r>
  <r>
    <s v="F148"/>
    <n v="266"/>
    <n v="14"/>
    <n v="5.2631578947368418E-2"/>
    <x v="0"/>
    <n v="234"/>
    <x v="2"/>
    <x v="3"/>
    <n v="3.8"/>
    <n v="2"/>
    <x v="0"/>
    <x v="0"/>
    <n v="1043"/>
    <n v="244062"/>
  </r>
  <r>
    <s v="F080"/>
    <n v="184"/>
    <n v="33"/>
    <n v="0.17934782608695651"/>
    <x v="1"/>
    <n v="144"/>
    <x v="2"/>
    <x v="4"/>
    <n v="24.7"/>
    <n v="6"/>
    <x v="2"/>
    <x v="2"/>
    <n v="1450"/>
    <n v="208800"/>
  </r>
  <r>
    <s v="F060"/>
    <n v="941"/>
    <n v="102"/>
    <n v="0.10839532412327312"/>
    <x v="1"/>
    <n v="787"/>
    <x v="2"/>
    <x v="2"/>
    <n v="8.9"/>
    <n v="2"/>
    <x v="0"/>
    <x v="0"/>
    <n v="1047"/>
    <n v="823989"/>
  </r>
  <r>
    <s v="F092"/>
    <n v="937"/>
    <n v="176"/>
    <n v="0.18783351120597652"/>
    <x v="1"/>
    <n v="754"/>
    <x v="2"/>
    <x v="2"/>
    <n v="36.9"/>
    <n v="2"/>
    <x v="0"/>
    <x v="1"/>
    <n v="1461"/>
    <n v="1101594"/>
  </r>
  <r>
    <s v="F042"/>
    <n v="604"/>
    <n v="98"/>
    <n v="0.16225165562913907"/>
    <x v="1"/>
    <n v="464"/>
    <x v="1"/>
    <x v="0"/>
    <n v="13.8"/>
    <n v="1"/>
    <x v="1"/>
    <x v="2"/>
    <n v="982"/>
    <n v="455648"/>
  </r>
  <r>
    <s v="F059"/>
    <n v="660"/>
    <n v="52"/>
    <n v="7.8787878787878782E-2"/>
    <x v="0"/>
    <n v="601"/>
    <x v="0"/>
    <x v="3"/>
    <n v="14.3"/>
    <n v="0"/>
    <x v="1"/>
    <x v="2"/>
    <n v="1317"/>
    <n v="791517"/>
  </r>
  <r>
    <s v="F091"/>
    <n v="580"/>
    <n v="113"/>
    <n v="0.19482758620689655"/>
    <x v="1"/>
    <n v="443"/>
    <x v="1"/>
    <x v="0"/>
    <n v="21.5"/>
    <n v="5"/>
    <x v="2"/>
    <x v="2"/>
    <n v="1277"/>
    <n v="565711"/>
  </r>
  <r>
    <s v="F049"/>
    <n v="664"/>
    <n v="51"/>
    <n v="7.6807228915662648E-2"/>
    <x v="0"/>
    <n v="568"/>
    <x v="2"/>
    <x v="0"/>
    <n v="12.6"/>
    <n v="2"/>
    <x v="0"/>
    <x v="2"/>
    <n v="1538"/>
    <n v="873584"/>
  </r>
  <r>
    <s v="F089"/>
    <n v="411"/>
    <n v="71"/>
    <n v="0.17274939172749393"/>
    <x v="1"/>
    <n v="340"/>
    <x v="2"/>
    <x v="2"/>
    <n v="28.9"/>
    <n v="2"/>
    <x v="0"/>
    <x v="2"/>
    <n v="1624"/>
    <n v="552160"/>
  </r>
  <r>
    <s v="F108"/>
    <n v="605"/>
    <n v="109"/>
    <n v="0.18016528925619835"/>
    <x v="1"/>
    <n v="493"/>
    <x v="3"/>
    <x v="3"/>
    <n v="41.8"/>
    <n v="6"/>
    <x v="2"/>
    <x v="1"/>
    <n v="868"/>
    <n v="427924"/>
  </r>
  <r>
    <s v="F125"/>
    <n v="760"/>
    <n v="107"/>
    <n v="0.14078947368421052"/>
    <x v="1"/>
    <n v="649"/>
    <x v="2"/>
    <x v="2"/>
    <n v="19.899999999999999"/>
    <n v="2"/>
    <x v="0"/>
    <x v="2"/>
    <n v="1195"/>
    <n v="775555"/>
  </r>
  <r>
    <s v="F022"/>
    <n v="486"/>
    <n v="96"/>
    <n v="0.19753086419753085"/>
    <x v="1"/>
    <n v="387"/>
    <x v="0"/>
    <x v="2"/>
    <n v="50.7"/>
    <n v="3"/>
    <x v="0"/>
    <x v="1"/>
    <n v="1159"/>
    <n v="448533"/>
  </r>
  <r>
    <s v="F058"/>
    <n v="464"/>
    <n v="38"/>
    <n v="8.1896551724137928E-2"/>
    <x v="0"/>
    <n v="422"/>
    <x v="2"/>
    <x v="4"/>
    <n v="8.1"/>
    <n v="1"/>
    <x v="1"/>
    <x v="0"/>
    <n v="1151"/>
    <n v="485722"/>
  </r>
  <r>
    <s v="F145"/>
    <n v="635"/>
    <n v="81"/>
    <n v="0.12755905511811025"/>
    <x v="1"/>
    <n v="552"/>
    <x v="1"/>
    <x v="2"/>
    <n v="4.8"/>
    <n v="3"/>
    <x v="0"/>
    <x v="0"/>
    <n v="1303"/>
    <n v="719256"/>
  </r>
  <r>
    <s v="F130"/>
    <n v="417"/>
    <n v="53"/>
    <n v="0.12709832134292565"/>
    <x v="1"/>
    <n v="331"/>
    <x v="2"/>
    <x v="3"/>
    <n v="14.3"/>
    <n v="4"/>
    <x v="2"/>
    <x v="2"/>
    <n v="1805"/>
    <n v="597455"/>
  </r>
  <r>
    <s v="F038"/>
    <n v="187"/>
    <n v="15"/>
    <n v="8.0213903743315509E-2"/>
    <x v="0"/>
    <n v="169"/>
    <x v="2"/>
    <x v="0"/>
    <n v="14.3"/>
    <n v="1"/>
    <x v="1"/>
    <x v="2"/>
    <n v="1133"/>
    <n v="191477"/>
  </r>
  <r>
    <s v="F141"/>
    <n v="623"/>
    <n v="73"/>
    <n v="0.11717495987158909"/>
    <x v="1"/>
    <n v="518"/>
    <x v="2"/>
    <x v="1"/>
    <n v="13.3"/>
    <n v="5"/>
    <x v="2"/>
    <x v="2"/>
    <n v="944"/>
    <n v="488992"/>
  </r>
  <r>
    <s v="F002"/>
    <n v="510"/>
    <n v="58"/>
    <n v="0.11372549019607843"/>
    <x v="1"/>
    <n v="412"/>
    <x v="0"/>
    <x v="0"/>
    <n v="46.3"/>
    <n v="1"/>
    <x v="1"/>
    <x v="1"/>
    <n v="715"/>
    <n v="294580"/>
  </r>
  <r>
    <s v="F053"/>
    <n v="379"/>
    <n v="60"/>
    <n v="0.15831134564643801"/>
    <x v="1"/>
    <n v="318"/>
    <x v="1"/>
    <x v="2"/>
    <n v="35.4"/>
    <n v="2"/>
    <x v="0"/>
    <x v="1"/>
    <n v="1057"/>
    <n v="336126"/>
  </r>
  <r>
    <s v="F131"/>
    <n v="234"/>
    <n v="43"/>
    <n v="0.18376068376068377"/>
    <x v="1"/>
    <n v="185"/>
    <x v="2"/>
    <x v="1"/>
    <n v="16.2"/>
    <n v="7"/>
    <x v="2"/>
    <x v="2"/>
    <n v="1389"/>
    <n v="256965"/>
  </r>
  <r>
    <s v="F104"/>
    <n v="354"/>
    <n v="51"/>
    <n v="0.1440677966101695"/>
    <x v="1"/>
    <n v="285"/>
    <x v="2"/>
    <x v="3"/>
    <n v="11.6"/>
    <n v="2"/>
    <x v="0"/>
    <x v="2"/>
    <n v="1535"/>
    <n v="437475"/>
  </r>
  <r>
    <s v="F100"/>
    <n v="483"/>
    <n v="25"/>
    <n v="5.1759834368530024E-2"/>
    <x v="0"/>
    <n v="427"/>
    <x v="1"/>
    <x v="0"/>
    <n v="10.9"/>
    <n v="2"/>
    <x v="0"/>
    <x v="2"/>
    <n v="1472"/>
    <n v="628544"/>
  </r>
  <r>
    <s v="F117"/>
    <n v="529"/>
    <n v="66"/>
    <n v="0.12476370510396975"/>
    <x v="1"/>
    <n v="435"/>
    <x v="0"/>
    <x v="1"/>
    <n v="15.7"/>
    <n v="1"/>
    <x v="1"/>
    <x v="2"/>
    <n v="1018"/>
    <n v="442830"/>
  </r>
  <r>
    <s v="F088"/>
    <n v="659"/>
    <n v="121"/>
    <n v="0.18361153262518967"/>
    <x v="1"/>
    <n v="508"/>
    <x v="1"/>
    <x v="0"/>
    <n v="15.5"/>
    <n v="4"/>
    <x v="2"/>
    <x v="2"/>
    <n v="917"/>
    <n v="465836"/>
  </r>
  <r>
    <s v="F075"/>
    <n v="130"/>
    <n v="10"/>
    <n v="7.6923076923076927E-2"/>
    <x v="0"/>
    <n v="117"/>
    <x v="0"/>
    <x v="2"/>
    <n v="12.5"/>
    <n v="3"/>
    <x v="0"/>
    <x v="2"/>
    <n v="1157"/>
    <n v="135369"/>
  </r>
  <r>
    <s v="F122"/>
    <n v="334"/>
    <n v="36"/>
    <n v="0.10778443113772455"/>
    <x v="1"/>
    <n v="284"/>
    <x v="1"/>
    <x v="1"/>
    <n v="6.6"/>
    <n v="2"/>
    <x v="0"/>
    <x v="0"/>
    <n v="1215"/>
    <n v="345060"/>
  </r>
  <r>
    <s v="F150"/>
    <n v="648"/>
    <n v="142"/>
    <n v="0.2191358024691358"/>
    <x v="2"/>
    <n v="422"/>
    <x v="1"/>
    <x v="2"/>
    <n v="45.6"/>
    <n v="5"/>
    <x v="2"/>
    <x v="1"/>
    <n v="1165"/>
    <n v="491630"/>
  </r>
  <r>
    <s v="F021"/>
    <n v="1232"/>
    <n v="162"/>
    <n v="0.1314935064935065"/>
    <x v="1"/>
    <n v="1048"/>
    <x v="2"/>
    <x v="2"/>
    <n v="16.2"/>
    <n v="3"/>
    <x v="0"/>
    <x v="2"/>
    <n v="1187"/>
    <n v="1243976"/>
  </r>
  <r>
    <s v="F072"/>
    <n v="1282"/>
    <n v="191"/>
    <n v="0.14898595943837753"/>
    <x v="1"/>
    <n v="1051"/>
    <x v="1"/>
    <x v="0"/>
    <n v="10.199999999999999"/>
    <n v="4"/>
    <x v="2"/>
    <x v="2"/>
    <n v="1272"/>
    <n v="1336872"/>
  </r>
  <r>
    <s v="F107"/>
    <n v="1552"/>
    <n v="283"/>
    <n v="0.18234536082474226"/>
    <x v="1"/>
    <n v="1153"/>
    <x v="2"/>
    <x v="2"/>
    <n v="15.1"/>
    <n v="6"/>
    <x v="2"/>
    <x v="2"/>
    <n v="933"/>
    <n v="1075749"/>
  </r>
  <r>
    <s v="F015"/>
    <n v="213"/>
    <n v="29"/>
    <n v="0.13615023474178403"/>
    <x v="1"/>
    <n v="167"/>
    <x v="2"/>
    <x v="3"/>
    <n v="22.8"/>
    <n v="1"/>
    <x v="1"/>
    <x v="2"/>
    <n v="1402"/>
    <n v="234134"/>
  </r>
  <r>
    <s v="F093"/>
    <n v="374"/>
    <n v="51"/>
    <n v="0.13636363636363635"/>
    <x v="1"/>
    <n v="313"/>
    <x v="1"/>
    <x v="2"/>
    <n v="22.2"/>
    <n v="3"/>
    <x v="0"/>
    <x v="2"/>
    <n v="1134"/>
    <n v="354942"/>
  </r>
  <r>
    <s v="F103"/>
    <n v="456"/>
    <n v="96"/>
    <n v="0.21052631578947367"/>
    <x v="2"/>
    <n v="356"/>
    <x v="1"/>
    <x v="0"/>
    <n v="26.6"/>
    <n v="5"/>
    <x v="2"/>
    <x v="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Days_before_sale">
  <location ref="E13:F17" firstHeaderRow="1" firstDataRow="1" firstDataCol="1"/>
  <pivotFields count="14">
    <pivotField showAll="0"/>
    <pivotField showAll="0" defaultSubtotal="0"/>
    <pivotField showAll="0" defaultSubtotal="0"/>
    <pivotField dataField="1" showAll="0"/>
    <pivotField showAll="0" defaultSubtotal="0"/>
    <pivotField showAll="0" defaultSubtotal="0"/>
    <pivotField showAll="0" defaultSubtotal="0">
      <items count="5">
        <item m="1" x="4"/>
        <item x="3"/>
        <item x="0"/>
        <item x="1"/>
        <item x="2"/>
      </items>
    </pivotField>
    <pivotField showAll="0">
      <items count="6">
        <item x="4"/>
        <item x="2"/>
        <item x="1"/>
        <item x="3"/>
        <item x="0"/>
        <item t="default"/>
      </items>
    </pivotField>
    <pivotField showAll="0" defaultSubtotal="0"/>
    <pivotField showAll="0"/>
    <pivotField axis="axisRow" showAll="0" defaultSubtotal="0">
      <items count="4">
        <item x="2"/>
        <item h="1" m="1" x="3"/>
        <item x="0"/>
        <item x="1"/>
      </items>
    </pivotField>
    <pivotField showAll="0">
      <items count="5">
        <item x="1"/>
        <item x="2"/>
        <item m="1" x="3"/>
        <item x="0"/>
        <item t="default"/>
      </items>
    </pivotField>
    <pivotField showAll="0" defaultSubtotal="0"/>
    <pivotField showAll="0"/>
  </pivotFields>
  <rowFields count="1">
    <field x="10"/>
  </rowFields>
  <rowItems count="4">
    <i>
      <x/>
    </i>
    <i>
      <x v="2"/>
    </i>
    <i>
      <x v="3"/>
    </i>
    <i t="grand">
      <x/>
    </i>
  </rowItems>
  <colItems count="1">
    <i/>
  </colItems>
  <dataFields count="1">
    <dataField name="Average of Loss_rate" fld="3" subtotal="average" baseField="6" baseItem="0" numFmtId="10"/>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rowHeaderCaption="Distance">
  <location ref="E3:F7" firstHeaderRow="1" firstDataRow="1" firstDataCol="1"/>
  <pivotFields count="14">
    <pivotField showAll="0"/>
    <pivotField showAll="0" defaultSubtotal="0"/>
    <pivotField showAll="0" defaultSubtotal="0"/>
    <pivotField dataField="1" showAll="0"/>
    <pivotField showAll="0" defaultSubtotal="0"/>
    <pivotField showAll="0" defaultSubtotal="0"/>
    <pivotField showAll="0" defaultSubtotal="0">
      <items count="5">
        <item m="1" x="4"/>
        <item x="3"/>
        <item x="0"/>
        <item x="1"/>
        <item x="2"/>
      </items>
    </pivotField>
    <pivotField showAll="0">
      <items count="6">
        <item x="4"/>
        <item x="2"/>
        <item x="1"/>
        <item x="3"/>
        <item x="0"/>
        <item t="default"/>
      </items>
    </pivotField>
    <pivotField showAll="0" defaultSubtotal="0"/>
    <pivotField showAll="0"/>
    <pivotField showAll="0" defaultSubtotal="0"/>
    <pivotField axis="axisRow" showAll="0">
      <items count="5">
        <item x="1"/>
        <item x="2"/>
        <item m="1" x="3"/>
        <item x="0"/>
        <item t="default"/>
      </items>
    </pivotField>
    <pivotField showAll="0" defaultSubtotal="0"/>
    <pivotField showAll="0"/>
  </pivotFields>
  <rowFields count="1">
    <field x="11"/>
  </rowFields>
  <rowItems count="4">
    <i>
      <x/>
    </i>
    <i>
      <x v="1"/>
    </i>
    <i>
      <x v="3"/>
    </i>
    <i t="grand">
      <x/>
    </i>
  </rowItems>
  <colItems count="1">
    <i/>
  </colItems>
  <dataFields count="1">
    <dataField name="Average of Loss_rate" fld="3" subtotal="average" baseField="6" baseItem="0" numFmtId="1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Transport_method">
  <location ref="A13:B19" firstHeaderRow="1" firstDataRow="1" firstDataCol="1"/>
  <pivotFields count="14">
    <pivotField showAll="0"/>
    <pivotField showAll="0" defaultSubtotal="0"/>
    <pivotField showAll="0" defaultSubtotal="0"/>
    <pivotField dataField="1" showAll="0"/>
    <pivotField showAll="0" defaultSubtotal="0"/>
    <pivotField showAll="0" defaultSubtotal="0"/>
    <pivotField showAll="0" defaultSubtotal="0">
      <items count="5">
        <item m="1" x="4"/>
        <item x="3"/>
        <item x="0"/>
        <item x="1"/>
        <item x="2"/>
      </items>
    </pivotField>
    <pivotField axis="axisRow" showAll="0">
      <items count="6">
        <item x="4"/>
        <item x="2"/>
        <item x="1"/>
        <item x="3"/>
        <item x="0"/>
        <item t="default"/>
      </items>
    </pivotField>
    <pivotField showAll="0" defaultSubtotal="0"/>
    <pivotField showAll="0"/>
    <pivotField showAll="0" defaultSubtotal="0"/>
    <pivotField showAll="0">
      <items count="5">
        <item x="1"/>
        <item x="2"/>
        <item m="1" x="3"/>
        <item x="0"/>
        <item t="default"/>
      </items>
    </pivotField>
    <pivotField showAll="0" defaultSubtotal="0"/>
    <pivotField showAll="0"/>
  </pivotFields>
  <rowFields count="1">
    <field x="7"/>
  </rowFields>
  <rowItems count="6">
    <i>
      <x/>
    </i>
    <i>
      <x v="1"/>
    </i>
    <i>
      <x v="2"/>
    </i>
    <i>
      <x v="3"/>
    </i>
    <i>
      <x v="4"/>
    </i>
    <i t="grand">
      <x/>
    </i>
  </rowItems>
  <colItems count="1">
    <i/>
  </colItems>
  <dataFields count="1">
    <dataField name="Average of Loss_rate" fld="3" subtotal="average" baseField="6" baseItem="0" numFmtId="10"/>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rowHeaderCaption="Storage_method">
  <location ref="A3:B8" firstHeaderRow="1" firstDataRow="1" firstDataCol="1"/>
  <pivotFields count="14">
    <pivotField showAll="0"/>
    <pivotField showAll="0" defaultSubtotal="0"/>
    <pivotField showAll="0" defaultSubtotal="0"/>
    <pivotField dataField="1" showAll="0"/>
    <pivotField showAll="0" defaultSubtotal="0"/>
    <pivotField showAll="0" defaultSubtotal="0"/>
    <pivotField axis="axisRow" showAll="0" defaultSubtotal="0">
      <items count="5">
        <item m="1" x="4"/>
        <item x="3"/>
        <item x="0"/>
        <item x="1"/>
        <item x="2"/>
      </items>
    </pivotField>
    <pivotField showAll="0">
      <items count="6">
        <item x="4"/>
        <item x="2"/>
        <item x="1"/>
        <item x="3"/>
        <item x="0"/>
        <item t="default"/>
      </items>
    </pivotField>
    <pivotField showAll="0" defaultSubtotal="0"/>
    <pivotField showAll="0"/>
    <pivotField showAll="0" defaultSubtotal="0"/>
    <pivotField showAll="0">
      <items count="5">
        <item x="1"/>
        <item x="2"/>
        <item m="1" x="3"/>
        <item x="0"/>
        <item t="default"/>
      </items>
    </pivotField>
    <pivotField showAll="0" defaultSubtotal="0"/>
    <pivotField showAll="0"/>
  </pivotFields>
  <rowFields count="1">
    <field x="6"/>
  </rowFields>
  <rowItems count="5">
    <i>
      <x v="1"/>
    </i>
    <i>
      <x v="2"/>
    </i>
    <i>
      <x v="3"/>
    </i>
    <i>
      <x v="4"/>
    </i>
    <i t="grand">
      <x/>
    </i>
  </rowItems>
  <colItems count="1">
    <i/>
  </colItems>
  <dataFields count="1">
    <dataField name="Average of Loss_rate" fld="3" subtotal="average" baseField="6" baseItem="0" numFmtId="10"/>
  </dataFields>
  <chartFormats count="3">
    <chartFormat chart="7"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Days_before_sale">
  <location ref="E23:F27" firstHeaderRow="1" firstDataRow="1" firstDataCol="1"/>
  <pivotFields count="14">
    <pivotField dataField="1" showAll="0"/>
    <pivotField showAll="0" defaultSubtotal="0"/>
    <pivotField showAll="0" defaultSubtotal="0"/>
    <pivotField showAll="0"/>
    <pivotField axis="axisRow" showAll="0" defaultSubtotal="0">
      <items count="3">
        <item x="2"/>
        <item x="0"/>
        <item x="1"/>
      </items>
    </pivotField>
    <pivotField showAll="0" defaultSubtotal="0"/>
    <pivotField showAll="0" defaultSubtotal="0">
      <items count="5">
        <item m="1" x="4"/>
        <item x="3"/>
        <item x="0"/>
        <item x="1"/>
        <item x="2"/>
      </items>
    </pivotField>
    <pivotField showAll="0">
      <items count="6">
        <item x="4"/>
        <item x="2"/>
        <item x="1"/>
        <item x="3"/>
        <item x="0"/>
        <item t="default"/>
      </items>
    </pivotField>
    <pivotField showAll="0" defaultSubtotal="0"/>
    <pivotField showAll="0"/>
    <pivotField showAll="0" defaultSubtotal="0"/>
    <pivotField showAll="0">
      <items count="5">
        <item x="1"/>
        <item x="2"/>
        <item m="1" x="3"/>
        <item x="0"/>
        <item t="default"/>
      </items>
    </pivotField>
    <pivotField showAll="0" defaultSubtotal="0"/>
    <pivotField showAll="0"/>
  </pivotFields>
  <rowFields count="1">
    <field x="4"/>
  </rowFields>
  <rowItems count="4">
    <i>
      <x/>
    </i>
    <i>
      <x v="1"/>
    </i>
    <i>
      <x v="2"/>
    </i>
    <i t="grand">
      <x/>
    </i>
  </rowItems>
  <colItems count="1">
    <i/>
  </colItems>
  <dataFields count="1">
    <dataField name="Count of Farmer_ID" fld="0" subtotal="count" baseField="0" baseItem="0"/>
  </dataFields>
  <formats count="2">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Days_before_sale">
  <location ref="B23:B24" firstHeaderRow="1" firstDataRow="1" firstDataCol="0"/>
  <pivotFields count="14">
    <pivotField showAll="0"/>
    <pivotField showAll="0" defaultSubtotal="0"/>
    <pivotField showAll="0" defaultSubtotal="0"/>
    <pivotField dataField="1" showAll="0"/>
    <pivotField showAll="0" defaultSubtotal="0"/>
    <pivotField showAll="0" defaultSubtotal="0"/>
    <pivotField showAll="0" defaultSubtotal="0">
      <items count="5">
        <item m="1" x="4"/>
        <item x="3"/>
        <item x="0"/>
        <item x="1"/>
        <item x="2"/>
      </items>
    </pivotField>
    <pivotField showAll="0">
      <items count="6">
        <item x="4"/>
        <item x="2"/>
        <item x="1"/>
        <item x="3"/>
        <item x="0"/>
        <item t="default"/>
      </items>
    </pivotField>
    <pivotField showAll="0" defaultSubtotal="0"/>
    <pivotField showAll="0"/>
    <pivotField showAll="0" defaultSubtotal="0"/>
    <pivotField showAll="0">
      <items count="5">
        <item x="1"/>
        <item x="2"/>
        <item m="1" x="3"/>
        <item x="0"/>
        <item t="default"/>
      </items>
    </pivotField>
    <pivotField showAll="0" defaultSubtotal="0"/>
    <pivotField showAll="0"/>
  </pivotFields>
  <rowItems count="1">
    <i/>
  </rowItems>
  <colItems count="1">
    <i/>
  </colItems>
  <dataFields count="1">
    <dataField name="Average of Loss rate" fld="3" subtotal="average" baseField="0" baseItem="1" numFmtId="10"/>
  </dataFields>
  <formats count="3">
    <format dxfId="20">
      <pivotArea dataOnly="0" labelOnly="1" outline="0" axis="axisValues" fieldPosition="0"/>
    </format>
    <format dxfId="19">
      <pivotArea dataOnly="0" labelOnly="1" outline="0" axis="axisValues" fieldPosition="0"/>
    </format>
    <format dxfId="1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method" xr10:uid="{00000000-0013-0000-FFFF-FFFF01000000}" sourceName="Storage_method">
  <pivotTables>
    <pivotTable tabId="7" name="PivotTable5"/>
    <pivotTable tabId="7" name="PivotTable1"/>
    <pivotTable tabId="7" name="PivotTable4"/>
    <pivotTable tabId="7" name="PivotTable6"/>
    <pivotTable tabId="7" name="PivotTable7"/>
    <pivotTable tabId="7" name="PivotTable2"/>
  </pivotTables>
  <data>
    <tabular pivotCacheId="1" crossFilter="showItemsWithNoData">
      <items count="5">
        <i x="4" s="1" nd="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ethod" xr10:uid="{00000000-0013-0000-FFFF-FFFF02000000}" sourceName="Transport_Method">
  <pivotTables>
    <pivotTable tabId="7" name="PivotTable5"/>
    <pivotTable tabId="7" name="PivotTable1"/>
    <pivotTable tabId="7" name="PivotTable4"/>
    <pivotTable tabId="7" name="PivotTable6"/>
    <pivotTable tabId="7" name="PivotTable7"/>
    <pivotTable tabId="7" name="PivotTable2"/>
  </pivotTables>
  <data>
    <tabular pivotCacheId="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category" xr10:uid="{00000000-0013-0000-FFFF-FFFF03000000}" sourceName="Distance_category">
  <pivotTables>
    <pivotTable tabId="7" name="PivotTable5"/>
    <pivotTable tabId="7" name="PivotTable1"/>
    <pivotTable tabId="7" name="PivotTable4"/>
    <pivotTable tabId="7" name="PivotTable6"/>
    <pivotTable tabId="7" name="PivotTable7"/>
    <pivotTable tabId="7" name="PivotTable2"/>
  </pivotTables>
  <data>
    <tabular pivotCacheId="1">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age_method" xr10:uid="{00000000-0014-0000-FFFF-FFFF01000000}" cache="Slicer_Storage_method" caption="Storage_method" rowHeight="241300"/>
  <slicer name="Transport_Method" xr10:uid="{00000000-0014-0000-FFFF-FFFF02000000}" cache="Slicer_Transport_Method" caption="Transport_Method" rowHeight="241300"/>
  <slicer name="Distance_category" xr10:uid="{00000000-0014-0000-FFFF-FFFF03000000}" cache="Slicer_Distance_category" caption="Distance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_Method 1" xr10:uid="{00000000-0014-0000-FFFF-FFFF04000000}" cache="Slicer_Transport_Method" caption="Transpor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7"/>
  <sheetViews>
    <sheetView workbookViewId="0">
      <selection activeCell="E5" sqref="E5"/>
    </sheetView>
  </sheetViews>
  <sheetFormatPr defaultRowHeight="15" x14ac:dyDescent="0.25"/>
  <cols>
    <col min="1" max="1" width="18.140625" bestFit="1" customWidth="1"/>
    <col min="2" max="2" width="19" bestFit="1" customWidth="1"/>
    <col min="3" max="3" width="18.42578125" bestFit="1" customWidth="1"/>
    <col min="5" max="5" width="19.140625" bestFit="1" customWidth="1"/>
    <col min="6" max="6" width="19.5703125" bestFit="1" customWidth="1"/>
  </cols>
  <sheetData>
    <row r="3" spans="1:6" x14ac:dyDescent="0.25">
      <c r="A3" s="4" t="s">
        <v>284</v>
      </c>
      <c r="B3" t="s">
        <v>285</v>
      </c>
      <c r="E3" s="4" t="s">
        <v>271</v>
      </c>
      <c r="F3" t="s">
        <v>285</v>
      </c>
    </row>
    <row r="4" spans="1:6" x14ac:dyDescent="0.25">
      <c r="A4" s="5" t="s">
        <v>104</v>
      </c>
      <c r="B4" s="2">
        <v>0.12924178347019927</v>
      </c>
      <c r="E4" s="5" t="s">
        <v>288</v>
      </c>
      <c r="F4" s="2">
        <v>0.18570972733127447</v>
      </c>
    </row>
    <row r="5" spans="1:6" x14ac:dyDescent="0.25">
      <c r="A5" s="5" t="s">
        <v>99</v>
      </c>
      <c r="B5" s="2">
        <v>0.10511189568376035</v>
      </c>
      <c r="E5" s="5" t="s">
        <v>286</v>
      </c>
      <c r="F5" s="2">
        <v>0.13503538705359927</v>
      </c>
    </row>
    <row r="6" spans="1:6" x14ac:dyDescent="0.25">
      <c r="A6" s="5" t="s">
        <v>41</v>
      </c>
      <c r="B6" s="2">
        <v>0.1539216607653206</v>
      </c>
      <c r="E6" s="5" t="s">
        <v>287</v>
      </c>
      <c r="F6" s="2">
        <v>0.11556025480576107</v>
      </c>
    </row>
    <row r="7" spans="1:6" x14ac:dyDescent="0.25">
      <c r="A7" s="5" t="s">
        <v>64</v>
      </c>
      <c r="B7" s="2">
        <v>0.13697785488505129</v>
      </c>
      <c r="E7" s="5" t="s">
        <v>280</v>
      </c>
      <c r="F7" s="2">
        <v>0.13670324445852022</v>
      </c>
    </row>
    <row r="8" spans="1:6" x14ac:dyDescent="0.25">
      <c r="A8" s="5" t="s">
        <v>280</v>
      </c>
      <c r="B8" s="2">
        <v>0.1367032444585202</v>
      </c>
    </row>
    <row r="13" spans="1:6" x14ac:dyDescent="0.25">
      <c r="A13" s="4" t="s">
        <v>293</v>
      </c>
      <c r="B13" t="s">
        <v>285</v>
      </c>
      <c r="E13" s="4" t="s">
        <v>294</v>
      </c>
      <c r="F13" t="s">
        <v>285</v>
      </c>
    </row>
    <row r="14" spans="1:6" x14ac:dyDescent="0.25">
      <c r="A14" s="5" t="s">
        <v>29</v>
      </c>
      <c r="B14" s="2">
        <v>0.14683573827775048</v>
      </c>
      <c r="E14" s="5" t="s">
        <v>290</v>
      </c>
      <c r="F14" s="2">
        <v>0.16723510991559878</v>
      </c>
    </row>
    <row r="15" spans="1:6" x14ac:dyDescent="0.25">
      <c r="A15" s="5" t="s">
        <v>32</v>
      </c>
      <c r="B15" s="2">
        <v>0.15548591982910487</v>
      </c>
      <c r="E15" s="5" t="s">
        <v>291</v>
      </c>
      <c r="F15" s="2">
        <v>0.13281079218239472</v>
      </c>
    </row>
    <row r="16" spans="1:6" x14ac:dyDescent="0.25">
      <c r="A16" s="5" t="s">
        <v>14</v>
      </c>
      <c r="B16" s="2">
        <v>0.13575694553434325</v>
      </c>
      <c r="E16" s="5" t="s">
        <v>292</v>
      </c>
      <c r="F16" s="2">
        <v>0.10695517721455691</v>
      </c>
    </row>
    <row r="17" spans="1:6" x14ac:dyDescent="0.25">
      <c r="A17" s="5" t="s">
        <v>20</v>
      </c>
      <c r="B17" s="2">
        <v>0.11889423884426865</v>
      </c>
      <c r="E17" s="5" t="s">
        <v>280</v>
      </c>
      <c r="F17" s="2">
        <v>0.13670324445852017</v>
      </c>
    </row>
    <row r="18" spans="1:6" x14ac:dyDescent="0.25">
      <c r="A18" s="5" t="s">
        <v>11</v>
      </c>
      <c r="B18" s="2">
        <v>0.13216726746111421</v>
      </c>
    </row>
    <row r="19" spans="1:6" x14ac:dyDescent="0.25">
      <c r="A19" s="5" t="s">
        <v>280</v>
      </c>
      <c r="B19" s="2">
        <v>0.13670324445852022</v>
      </c>
    </row>
    <row r="23" spans="1:6" x14ac:dyDescent="0.25">
      <c r="B23" s="9" t="s">
        <v>296</v>
      </c>
      <c r="E23" s="4" t="s">
        <v>294</v>
      </c>
      <c r="F23" s="9" t="s">
        <v>295</v>
      </c>
    </row>
    <row r="24" spans="1:6" x14ac:dyDescent="0.25">
      <c r="B24" s="2">
        <v>0.13670324445852014</v>
      </c>
      <c r="E24" s="5" t="s">
        <v>303</v>
      </c>
      <c r="F24" s="3">
        <v>13</v>
      </c>
    </row>
    <row r="25" spans="1:6" x14ac:dyDescent="0.25">
      <c r="D25" s="3">
        <v>150</v>
      </c>
      <c r="E25" s="5" t="s">
        <v>304</v>
      </c>
      <c r="F25" s="3">
        <v>40</v>
      </c>
    </row>
    <row r="26" spans="1:6" x14ac:dyDescent="0.25">
      <c r="D26" s="2">
        <v>0.13670324445852014</v>
      </c>
      <c r="E26" s="5" t="s">
        <v>305</v>
      </c>
      <c r="F26" s="3">
        <v>97</v>
      </c>
    </row>
    <row r="27" spans="1:6" x14ac:dyDescent="0.25">
      <c r="D27" s="3">
        <v>13</v>
      </c>
      <c r="E27" s="5" t="s">
        <v>280</v>
      </c>
      <c r="F27" s="3">
        <v>150</v>
      </c>
    </row>
  </sheetData>
  <pageMargins left="0.7" right="0.7" top="0.75" bottom="0.75" header="0.3" footer="0.3"/>
  <pageSetup orientation="portrait" horizontalDpi="1200" verticalDpi="1200"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75" zoomScaleNormal="75" workbookViewId="0">
      <selection activeCell="T7" sqref="T7"/>
    </sheetView>
  </sheetViews>
  <sheetFormatPr defaultRowHeight="15" x14ac:dyDescent="0.25"/>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workbookViewId="0">
      <pane ySplit="1" topLeftCell="A2" activePane="bottomLeft" state="frozen"/>
      <selection activeCell="B1" sqref="B1"/>
      <selection pane="bottomLeft" activeCell="E5" sqref="E5"/>
    </sheetView>
  </sheetViews>
  <sheetFormatPr defaultColWidth="10.85546875" defaultRowHeight="15" x14ac:dyDescent="0.25"/>
  <cols>
    <col min="1" max="1" width="14.7109375" bestFit="1" customWidth="1"/>
    <col min="2" max="2" width="18.42578125" bestFit="1" customWidth="1"/>
    <col min="3" max="3" width="17.7109375" bestFit="1" customWidth="1"/>
    <col min="4" max="4" width="13.85546875" bestFit="1" customWidth="1"/>
    <col min="5" max="5" width="20" bestFit="1" customWidth="1"/>
    <col min="6" max="6" width="18.140625" bestFit="1" customWidth="1"/>
    <col min="7" max="7" width="20.42578125" bestFit="1" customWidth="1"/>
    <col min="8" max="8" width="22.42578125" bestFit="1" customWidth="1"/>
    <col min="9" max="9" width="23.5703125" bestFit="1" customWidth="1"/>
    <col min="10" max="10" width="21.5703125" bestFit="1" customWidth="1"/>
    <col min="11" max="11" width="18.42578125" bestFit="1" customWidth="1"/>
    <col min="12" max="12" width="22" bestFit="1" customWidth="1"/>
    <col min="13" max="13" width="17" bestFit="1" customWidth="1"/>
    <col min="14" max="14" width="8.85546875" bestFit="1" customWidth="1"/>
  </cols>
  <sheetData>
    <row r="1" spans="1:14" x14ac:dyDescent="0.25">
      <c r="A1" s="1" t="s">
        <v>0</v>
      </c>
      <c r="B1" s="1" t="s">
        <v>297</v>
      </c>
      <c r="C1" s="8" t="s">
        <v>298</v>
      </c>
      <c r="D1" s="1" t="s">
        <v>281</v>
      </c>
      <c r="E1" s="8" t="s">
        <v>302</v>
      </c>
      <c r="F1" s="1" t="s">
        <v>299</v>
      </c>
      <c r="G1" s="1" t="s">
        <v>284</v>
      </c>
      <c r="H1" s="1" t="s">
        <v>5</v>
      </c>
      <c r="I1" s="8" t="s">
        <v>300</v>
      </c>
      <c r="J1" s="1" t="s">
        <v>7</v>
      </c>
      <c r="K1" s="8" t="s">
        <v>289</v>
      </c>
      <c r="L1" s="1" t="s">
        <v>283</v>
      </c>
      <c r="M1" s="1" t="s">
        <v>301</v>
      </c>
      <c r="N1" s="7" t="s">
        <v>282</v>
      </c>
    </row>
    <row r="2" spans="1:14" x14ac:dyDescent="0.25">
      <c r="A2" t="s">
        <v>9</v>
      </c>
      <c r="B2">
        <v>1300</v>
      </c>
      <c r="C2">
        <v>118</v>
      </c>
      <c r="D2" s="2">
        <f>(C2/B2)</f>
        <v>9.0769230769230769E-2</v>
      </c>
      <c r="E2" s="2" t="str">
        <f>IF(D2&lt;=10%,"Lowest loss",IF(D2&lt;=20%,"Medium loss","Highest loss"))</f>
        <v>Lowest loss</v>
      </c>
      <c r="F2">
        <v>1120</v>
      </c>
      <c r="G2" t="s">
        <v>99</v>
      </c>
      <c r="H2" t="s">
        <v>11</v>
      </c>
      <c r="I2">
        <v>7.6</v>
      </c>
      <c r="J2">
        <v>3</v>
      </c>
      <c r="K2" t="str">
        <f>IF(J2="","Missing",IF(J2&lt;=1,"Quick sale",IF(J2&lt;=3,"Moderate delay","Long delay")))</f>
        <v>Moderate delay</v>
      </c>
      <c r="L2" t="str">
        <f>IF(I2="","Missing",IF(I2&lt;=10,"Near",IF(I2&lt;=30,"Medium distance","Far")))</f>
        <v>Near</v>
      </c>
      <c r="M2">
        <v>1479</v>
      </c>
      <c r="N2">
        <f>IF(OR(F2="",M2=""),"",F2*M2)</f>
        <v>1656480</v>
      </c>
    </row>
    <row r="3" spans="1:14" x14ac:dyDescent="0.25">
      <c r="A3" t="s">
        <v>12</v>
      </c>
      <c r="B3">
        <v>334</v>
      </c>
      <c r="C3">
        <v>54</v>
      </c>
      <c r="D3" s="2">
        <f t="shared" ref="D3:D66" si="0">(C3/B3)</f>
        <v>0.16167664670658682</v>
      </c>
      <c r="E3" s="2" t="str">
        <f t="shared" ref="E3:E66" si="1">IF(D3&lt;=10%,"Lowest loss",IF(D3&lt;=20%,"Medium loss","Highest loss"))</f>
        <v>Medium loss</v>
      </c>
      <c r="F3">
        <v>259</v>
      </c>
      <c r="G3" t="s">
        <v>41</v>
      </c>
      <c r="H3" t="s">
        <v>14</v>
      </c>
      <c r="I3">
        <v>33.700000000000003</v>
      </c>
      <c r="J3">
        <v>1</v>
      </c>
      <c r="K3" t="str">
        <f t="shared" ref="K3:K66" si="2">IF(J3="","Missing",IF(J3&lt;=1,"Quick sale",IF(J3&lt;=3,"Moderate delay","Long delay")))</f>
        <v>Quick sale</v>
      </c>
      <c r="L3" t="str">
        <f t="shared" ref="L3:L66" si="3">IF(I3="","Missing",IF(I3&lt;=10,"Near",IF(I3&lt;=30,"Medium distance","Far")))</f>
        <v>Far</v>
      </c>
      <c r="M3">
        <v>1124</v>
      </c>
      <c r="N3">
        <f t="shared" ref="N3:N66" si="4">IF(OR(F3="",M3=""),"",F3*M3)</f>
        <v>291116</v>
      </c>
    </row>
    <row r="4" spans="1:14" x14ac:dyDescent="0.25">
      <c r="A4" t="s">
        <v>15</v>
      </c>
      <c r="B4">
        <v>1031</v>
      </c>
      <c r="C4">
        <v>189</v>
      </c>
      <c r="D4" s="2">
        <f t="shared" si="0"/>
        <v>0.18331716779825413</v>
      </c>
      <c r="E4" s="2" t="str">
        <f t="shared" si="1"/>
        <v>Medium loss</v>
      </c>
      <c r="F4">
        <v>775</v>
      </c>
      <c r="G4" t="s">
        <v>64</v>
      </c>
      <c r="H4" t="s">
        <v>32</v>
      </c>
      <c r="I4">
        <v>29.4</v>
      </c>
      <c r="J4">
        <v>4</v>
      </c>
      <c r="K4" t="str">
        <f t="shared" si="2"/>
        <v>Long delay</v>
      </c>
      <c r="L4" t="str">
        <f t="shared" si="3"/>
        <v>Medium distance</v>
      </c>
      <c r="M4">
        <v>1599</v>
      </c>
      <c r="N4">
        <f t="shared" si="4"/>
        <v>1239225</v>
      </c>
    </row>
    <row r="5" spans="1:14" x14ac:dyDescent="0.25">
      <c r="A5" t="s">
        <v>18</v>
      </c>
      <c r="B5">
        <v>578</v>
      </c>
      <c r="C5">
        <v>42</v>
      </c>
      <c r="D5" s="2">
        <f t="shared" si="0"/>
        <v>7.2664359861591699E-2</v>
      </c>
      <c r="E5" s="2" t="str">
        <f t="shared" si="1"/>
        <v>Lowest loss</v>
      </c>
      <c r="F5">
        <v>534</v>
      </c>
      <c r="G5" t="s">
        <v>99</v>
      </c>
      <c r="H5" t="s">
        <v>20</v>
      </c>
      <c r="I5">
        <v>16</v>
      </c>
      <c r="J5">
        <v>1</v>
      </c>
      <c r="K5" t="str">
        <f t="shared" si="2"/>
        <v>Quick sale</v>
      </c>
      <c r="L5" t="str">
        <f t="shared" si="3"/>
        <v>Medium distance</v>
      </c>
      <c r="M5">
        <v>1721</v>
      </c>
      <c r="N5">
        <f t="shared" si="4"/>
        <v>919014</v>
      </c>
    </row>
    <row r="6" spans="1:14" x14ac:dyDescent="0.25">
      <c r="A6" t="s">
        <v>21</v>
      </c>
      <c r="B6">
        <v>577</v>
      </c>
      <c r="C6">
        <v>115</v>
      </c>
      <c r="D6" s="2">
        <f t="shared" si="0"/>
        <v>0.19930675909878684</v>
      </c>
      <c r="E6" s="2" t="str">
        <f t="shared" si="1"/>
        <v>Medium loss</v>
      </c>
      <c r="F6">
        <v>422</v>
      </c>
      <c r="G6" t="s">
        <v>64</v>
      </c>
      <c r="H6" t="s">
        <v>32</v>
      </c>
      <c r="I6">
        <v>9.5</v>
      </c>
      <c r="J6">
        <v>7</v>
      </c>
      <c r="K6" t="str">
        <f t="shared" si="2"/>
        <v>Long delay</v>
      </c>
      <c r="L6" t="str">
        <f t="shared" si="3"/>
        <v>Near</v>
      </c>
      <c r="M6">
        <v>962</v>
      </c>
      <c r="N6">
        <f t="shared" si="4"/>
        <v>405964</v>
      </c>
    </row>
    <row r="7" spans="1:14" x14ac:dyDescent="0.25">
      <c r="A7" t="s">
        <v>23</v>
      </c>
      <c r="B7">
        <v>1523</v>
      </c>
      <c r="C7">
        <v>208</v>
      </c>
      <c r="D7" s="2">
        <f t="shared" si="0"/>
        <v>0.1365725541694025</v>
      </c>
      <c r="E7" s="2" t="str">
        <f t="shared" si="1"/>
        <v>Medium loss</v>
      </c>
      <c r="F7">
        <v>1267</v>
      </c>
      <c r="G7" t="s">
        <v>64</v>
      </c>
      <c r="H7" t="s">
        <v>32</v>
      </c>
      <c r="I7">
        <v>0</v>
      </c>
      <c r="J7">
        <v>4</v>
      </c>
      <c r="K7" t="str">
        <f t="shared" si="2"/>
        <v>Long delay</v>
      </c>
      <c r="L7" t="str">
        <f t="shared" si="3"/>
        <v>Near</v>
      </c>
      <c r="M7">
        <v>1488</v>
      </c>
      <c r="N7">
        <f t="shared" si="4"/>
        <v>1885296</v>
      </c>
    </row>
    <row r="8" spans="1:14" x14ac:dyDescent="0.25">
      <c r="A8" t="s">
        <v>25</v>
      </c>
      <c r="B8">
        <v>860</v>
      </c>
      <c r="C8">
        <v>185</v>
      </c>
      <c r="D8" s="2">
        <f t="shared" si="0"/>
        <v>0.21511627906976744</v>
      </c>
      <c r="E8" s="2" t="str">
        <f t="shared" si="1"/>
        <v>Highest loss</v>
      </c>
      <c r="F8">
        <v>635</v>
      </c>
      <c r="G8" t="s">
        <v>41</v>
      </c>
      <c r="H8" t="s">
        <v>27</v>
      </c>
      <c r="I8">
        <v>7.4</v>
      </c>
      <c r="J8">
        <v>6</v>
      </c>
      <c r="K8" t="str">
        <f t="shared" si="2"/>
        <v>Long delay</v>
      </c>
      <c r="L8" t="str">
        <f t="shared" si="3"/>
        <v>Near</v>
      </c>
      <c r="M8">
        <v>1191</v>
      </c>
      <c r="N8">
        <f t="shared" si="4"/>
        <v>756285</v>
      </c>
    </row>
    <row r="9" spans="1:14" x14ac:dyDescent="0.25">
      <c r="A9" t="s">
        <v>28</v>
      </c>
      <c r="B9">
        <v>1129</v>
      </c>
      <c r="C9">
        <v>155</v>
      </c>
      <c r="D9" s="2">
        <f t="shared" si="0"/>
        <v>0.13728963684676704</v>
      </c>
      <c r="E9" s="2" t="str">
        <f t="shared" si="1"/>
        <v>Medium loss</v>
      </c>
      <c r="F9">
        <v>956</v>
      </c>
      <c r="G9" t="s">
        <v>41</v>
      </c>
      <c r="H9" t="s">
        <v>29</v>
      </c>
      <c r="I9">
        <v>10.7</v>
      </c>
      <c r="J9">
        <v>1</v>
      </c>
      <c r="K9" t="str">
        <f t="shared" si="2"/>
        <v>Quick sale</v>
      </c>
      <c r="L9" t="str">
        <f t="shared" si="3"/>
        <v>Medium distance</v>
      </c>
      <c r="M9">
        <v>1452</v>
      </c>
      <c r="N9">
        <f t="shared" si="4"/>
        <v>1388112</v>
      </c>
    </row>
    <row r="10" spans="1:14" x14ac:dyDescent="0.25">
      <c r="A10" t="s">
        <v>30</v>
      </c>
      <c r="B10">
        <v>671</v>
      </c>
      <c r="C10">
        <v>60</v>
      </c>
      <c r="D10" s="2">
        <f t="shared" si="0"/>
        <v>8.9418777943368111E-2</v>
      </c>
      <c r="E10" s="2" t="str">
        <f t="shared" si="1"/>
        <v>Lowest loss</v>
      </c>
      <c r="F10">
        <v>587</v>
      </c>
      <c r="G10" t="s">
        <v>64</v>
      </c>
      <c r="H10" t="s">
        <v>32</v>
      </c>
      <c r="I10">
        <v>14.3</v>
      </c>
      <c r="J10">
        <v>2</v>
      </c>
      <c r="K10" t="str">
        <f t="shared" si="2"/>
        <v>Moderate delay</v>
      </c>
      <c r="L10" t="str">
        <f t="shared" si="3"/>
        <v>Medium distance</v>
      </c>
      <c r="M10" s="6">
        <v>1305</v>
      </c>
      <c r="N10">
        <f t="shared" si="4"/>
        <v>766035</v>
      </c>
    </row>
    <row r="11" spans="1:14" x14ac:dyDescent="0.25">
      <c r="A11" t="s">
        <v>34</v>
      </c>
      <c r="B11">
        <v>1240</v>
      </c>
      <c r="C11">
        <v>170</v>
      </c>
      <c r="D11" s="2">
        <f t="shared" si="0"/>
        <v>0.13709677419354838</v>
      </c>
      <c r="E11" s="2" t="str">
        <f t="shared" si="1"/>
        <v>Medium loss</v>
      </c>
      <c r="F11">
        <v>972</v>
      </c>
      <c r="G11" t="s">
        <v>99</v>
      </c>
      <c r="H11" t="s">
        <v>32</v>
      </c>
      <c r="I11">
        <v>3.3</v>
      </c>
      <c r="J11">
        <v>5</v>
      </c>
      <c r="K11" t="str">
        <f t="shared" si="2"/>
        <v>Long delay</v>
      </c>
      <c r="L11" t="str">
        <f t="shared" si="3"/>
        <v>Near</v>
      </c>
      <c r="M11">
        <v>1191</v>
      </c>
      <c r="N11">
        <f t="shared" si="4"/>
        <v>1157652</v>
      </c>
    </row>
    <row r="12" spans="1:14" x14ac:dyDescent="0.25">
      <c r="A12" t="s">
        <v>36</v>
      </c>
      <c r="B12">
        <v>191</v>
      </c>
      <c r="C12">
        <v>22</v>
      </c>
      <c r="D12" s="2">
        <f t="shared" si="0"/>
        <v>0.11518324607329843</v>
      </c>
      <c r="E12" s="2" t="str">
        <f t="shared" si="1"/>
        <v>Medium loss</v>
      </c>
      <c r="F12">
        <v>156</v>
      </c>
      <c r="G12" t="s">
        <v>99</v>
      </c>
      <c r="H12" t="s">
        <v>32</v>
      </c>
      <c r="I12">
        <v>3.9</v>
      </c>
      <c r="J12">
        <v>4</v>
      </c>
      <c r="K12" t="str">
        <f t="shared" si="2"/>
        <v>Long delay</v>
      </c>
      <c r="L12" t="str">
        <f t="shared" si="3"/>
        <v>Near</v>
      </c>
      <c r="M12">
        <v>1604</v>
      </c>
      <c r="N12">
        <f t="shared" si="4"/>
        <v>250224</v>
      </c>
    </row>
    <row r="13" spans="1:14" x14ac:dyDescent="0.25">
      <c r="A13" t="s">
        <v>38</v>
      </c>
      <c r="B13">
        <v>628</v>
      </c>
      <c r="C13">
        <v>121</v>
      </c>
      <c r="D13" s="2">
        <f t="shared" si="0"/>
        <v>0.1926751592356688</v>
      </c>
      <c r="E13" s="2" t="str">
        <f t="shared" si="1"/>
        <v>Medium loss</v>
      </c>
      <c r="F13">
        <v>485</v>
      </c>
      <c r="G13" t="s">
        <v>64</v>
      </c>
      <c r="H13" t="s">
        <v>20</v>
      </c>
      <c r="I13">
        <v>15.5</v>
      </c>
      <c r="J13">
        <v>6</v>
      </c>
      <c r="K13" t="str">
        <f t="shared" si="2"/>
        <v>Long delay</v>
      </c>
      <c r="L13" t="str">
        <f t="shared" si="3"/>
        <v>Medium distance</v>
      </c>
      <c r="M13">
        <v>874</v>
      </c>
      <c r="N13">
        <f t="shared" si="4"/>
        <v>423890</v>
      </c>
    </row>
    <row r="14" spans="1:14" x14ac:dyDescent="0.25">
      <c r="A14" t="s">
        <v>40</v>
      </c>
      <c r="B14">
        <v>617</v>
      </c>
      <c r="C14">
        <v>100</v>
      </c>
      <c r="D14" s="2">
        <f t="shared" si="0"/>
        <v>0.16207455429497569</v>
      </c>
      <c r="E14" s="2" t="str">
        <f t="shared" si="1"/>
        <v>Medium loss</v>
      </c>
      <c r="F14">
        <v>506</v>
      </c>
      <c r="G14" t="s">
        <v>41</v>
      </c>
      <c r="H14" t="s">
        <v>11</v>
      </c>
      <c r="I14">
        <v>6.8</v>
      </c>
      <c r="J14">
        <v>4</v>
      </c>
      <c r="K14" t="str">
        <f t="shared" si="2"/>
        <v>Long delay</v>
      </c>
      <c r="L14" t="str">
        <f t="shared" si="3"/>
        <v>Near</v>
      </c>
      <c r="M14">
        <v>1266</v>
      </c>
      <c r="N14">
        <f t="shared" si="4"/>
        <v>640596</v>
      </c>
    </row>
    <row r="15" spans="1:14" x14ac:dyDescent="0.25">
      <c r="A15" t="s">
        <v>43</v>
      </c>
      <c r="B15">
        <v>741</v>
      </c>
      <c r="C15">
        <v>92</v>
      </c>
      <c r="D15" s="2">
        <f t="shared" si="0"/>
        <v>0.12415654520917679</v>
      </c>
      <c r="E15" s="2" t="str">
        <f t="shared" si="1"/>
        <v>Medium loss</v>
      </c>
      <c r="F15">
        <v>620</v>
      </c>
      <c r="G15" t="s">
        <v>64</v>
      </c>
      <c r="H15" t="s">
        <v>20</v>
      </c>
      <c r="I15">
        <v>13.7</v>
      </c>
      <c r="J15">
        <v>1</v>
      </c>
      <c r="K15" t="str">
        <f t="shared" si="2"/>
        <v>Quick sale</v>
      </c>
      <c r="L15" t="str">
        <f t="shared" si="3"/>
        <v>Medium distance</v>
      </c>
      <c r="M15">
        <v>1408</v>
      </c>
      <c r="N15">
        <f t="shared" si="4"/>
        <v>872960</v>
      </c>
    </row>
    <row r="16" spans="1:14" x14ac:dyDescent="0.25">
      <c r="A16" t="s">
        <v>44</v>
      </c>
      <c r="B16">
        <v>253</v>
      </c>
      <c r="C16">
        <v>49</v>
      </c>
      <c r="D16" s="2">
        <f t="shared" si="0"/>
        <v>0.19367588932806323</v>
      </c>
      <c r="E16" s="2" t="str">
        <f t="shared" si="1"/>
        <v>Medium loss</v>
      </c>
      <c r="F16">
        <v>190</v>
      </c>
      <c r="G16" t="s">
        <v>99</v>
      </c>
      <c r="H16" t="s">
        <v>29</v>
      </c>
      <c r="I16">
        <v>39.1</v>
      </c>
      <c r="J16">
        <v>5</v>
      </c>
      <c r="K16" t="str">
        <f t="shared" si="2"/>
        <v>Long delay</v>
      </c>
      <c r="L16" t="str">
        <f t="shared" si="3"/>
        <v>Far</v>
      </c>
      <c r="M16">
        <v>771</v>
      </c>
      <c r="N16">
        <f t="shared" si="4"/>
        <v>146490</v>
      </c>
    </row>
    <row r="17" spans="1:14" x14ac:dyDescent="0.25">
      <c r="A17" t="s">
        <v>46</v>
      </c>
      <c r="B17">
        <v>347</v>
      </c>
      <c r="C17">
        <v>49</v>
      </c>
      <c r="D17" s="2">
        <f t="shared" si="0"/>
        <v>0.14121037463976946</v>
      </c>
      <c r="E17" s="2" t="str">
        <f t="shared" si="1"/>
        <v>Medium loss</v>
      </c>
      <c r="F17">
        <v>285</v>
      </c>
      <c r="G17" t="s">
        <v>41</v>
      </c>
      <c r="H17" t="s">
        <v>20</v>
      </c>
      <c r="I17">
        <v>6.7</v>
      </c>
      <c r="J17">
        <v>6</v>
      </c>
      <c r="K17" t="str">
        <f t="shared" si="2"/>
        <v>Long delay</v>
      </c>
      <c r="L17" t="str">
        <f t="shared" si="3"/>
        <v>Near</v>
      </c>
      <c r="M17">
        <v>931</v>
      </c>
      <c r="N17">
        <f t="shared" si="4"/>
        <v>265335</v>
      </c>
    </row>
    <row r="18" spans="1:14" x14ac:dyDescent="0.25">
      <c r="A18" t="s">
        <v>47</v>
      </c>
      <c r="B18">
        <v>503</v>
      </c>
      <c r="C18">
        <v>28</v>
      </c>
      <c r="D18" s="2">
        <f t="shared" si="0"/>
        <v>5.5666003976143144E-2</v>
      </c>
      <c r="E18" s="2" t="str">
        <f t="shared" si="1"/>
        <v>Lowest loss</v>
      </c>
      <c r="F18">
        <v>447</v>
      </c>
      <c r="G18" t="s">
        <v>64</v>
      </c>
      <c r="H18" t="s">
        <v>20</v>
      </c>
      <c r="I18">
        <v>1.9</v>
      </c>
      <c r="J18">
        <v>1</v>
      </c>
      <c r="K18" t="str">
        <f t="shared" si="2"/>
        <v>Quick sale</v>
      </c>
      <c r="L18" t="str">
        <f t="shared" si="3"/>
        <v>Near</v>
      </c>
      <c r="M18">
        <v>1132</v>
      </c>
      <c r="N18">
        <f t="shared" si="4"/>
        <v>506004</v>
      </c>
    </row>
    <row r="19" spans="1:14" x14ac:dyDescent="0.25">
      <c r="A19" t="s">
        <v>48</v>
      </c>
      <c r="B19">
        <v>386</v>
      </c>
      <c r="C19">
        <v>60</v>
      </c>
      <c r="D19" s="2">
        <f t="shared" si="0"/>
        <v>0.15544041450777202</v>
      </c>
      <c r="E19" s="2" t="str">
        <f t="shared" si="1"/>
        <v>Medium loss</v>
      </c>
      <c r="F19">
        <v>326</v>
      </c>
      <c r="G19" t="s">
        <v>64</v>
      </c>
      <c r="H19" t="s">
        <v>20</v>
      </c>
      <c r="I19">
        <v>22</v>
      </c>
      <c r="J19">
        <v>3</v>
      </c>
      <c r="K19" t="str">
        <f t="shared" si="2"/>
        <v>Moderate delay</v>
      </c>
      <c r="L19" t="str">
        <f t="shared" si="3"/>
        <v>Medium distance</v>
      </c>
      <c r="M19">
        <v>956</v>
      </c>
      <c r="N19">
        <f t="shared" si="4"/>
        <v>311656</v>
      </c>
    </row>
    <row r="20" spans="1:14" x14ac:dyDescent="0.25">
      <c r="A20" t="s">
        <v>49</v>
      </c>
      <c r="B20">
        <v>918</v>
      </c>
      <c r="C20">
        <v>87</v>
      </c>
      <c r="D20" s="2">
        <f t="shared" si="0"/>
        <v>9.4771241830065356E-2</v>
      </c>
      <c r="E20" s="2" t="str">
        <f t="shared" si="1"/>
        <v>Lowest loss</v>
      </c>
      <c r="F20">
        <v>773</v>
      </c>
      <c r="G20" t="s">
        <v>41</v>
      </c>
      <c r="H20" t="s">
        <v>11</v>
      </c>
      <c r="I20">
        <v>13.6</v>
      </c>
      <c r="J20">
        <v>2</v>
      </c>
      <c r="K20" t="str">
        <f t="shared" si="2"/>
        <v>Moderate delay</v>
      </c>
      <c r="L20" t="str">
        <f t="shared" si="3"/>
        <v>Medium distance</v>
      </c>
      <c r="M20" s="6">
        <v>1166</v>
      </c>
      <c r="N20">
        <f t="shared" si="4"/>
        <v>901318</v>
      </c>
    </row>
    <row r="21" spans="1:14" x14ac:dyDescent="0.25">
      <c r="A21" t="s">
        <v>51</v>
      </c>
      <c r="B21">
        <v>307</v>
      </c>
      <c r="C21">
        <v>72</v>
      </c>
      <c r="D21" s="2">
        <f t="shared" si="0"/>
        <v>0.23452768729641693</v>
      </c>
      <c r="E21" s="2" t="str">
        <f t="shared" si="1"/>
        <v>Highest loss</v>
      </c>
      <c r="F21">
        <v>264</v>
      </c>
      <c r="G21" t="s">
        <v>64</v>
      </c>
      <c r="H21" t="s">
        <v>11</v>
      </c>
      <c r="I21">
        <v>7.9</v>
      </c>
      <c r="J21">
        <v>2</v>
      </c>
      <c r="K21" t="str">
        <f t="shared" si="2"/>
        <v>Moderate delay</v>
      </c>
      <c r="L21" t="str">
        <f t="shared" si="3"/>
        <v>Near</v>
      </c>
      <c r="M21">
        <v>1350</v>
      </c>
      <c r="N21">
        <f t="shared" si="4"/>
        <v>356400</v>
      </c>
    </row>
    <row r="22" spans="1:14" x14ac:dyDescent="0.25">
      <c r="A22" t="s">
        <v>52</v>
      </c>
      <c r="B22">
        <v>468</v>
      </c>
      <c r="C22">
        <v>75</v>
      </c>
      <c r="D22" s="2">
        <f t="shared" si="0"/>
        <v>0.16025641025641027</v>
      </c>
      <c r="E22" s="2" t="str">
        <f t="shared" si="1"/>
        <v>Medium loss</v>
      </c>
      <c r="F22">
        <v>377</v>
      </c>
      <c r="G22" t="s">
        <v>64</v>
      </c>
      <c r="H22" t="s">
        <v>32</v>
      </c>
      <c r="I22">
        <v>40.700000000000003</v>
      </c>
      <c r="J22">
        <v>2</v>
      </c>
      <c r="K22" t="str">
        <f t="shared" si="2"/>
        <v>Moderate delay</v>
      </c>
      <c r="L22" t="str">
        <f t="shared" si="3"/>
        <v>Far</v>
      </c>
      <c r="M22">
        <v>1410</v>
      </c>
      <c r="N22">
        <f t="shared" si="4"/>
        <v>531570</v>
      </c>
    </row>
    <row r="23" spans="1:14" x14ac:dyDescent="0.25">
      <c r="A23" t="s">
        <v>53</v>
      </c>
      <c r="B23">
        <v>403</v>
      </c>
      <c r="C23">
        <v>77</v>
      </c>
      <c r="D23" s="2">
        <f t="shared" si="0"/>
        <v>0.19106699751861042</v>
      </c>
      <c r="E23" s="2" t="str">
        <f t="shared" si="1"/>
        <v>Medium loss</v>
      </c>
      <c r="F23">
        <v>298</v>
      </c>
      <c r="G23" t="s">
        <v>64</v>
      </c>
      <c r="H23" t="s">
        <v>14</v>
      </c>
      <c r="I23">
        <v>38</v>
      </c>
      <c r="J23">
        <v>3</v>
      </c>
      <c r="K23" t="str">
        <f t="shared" si="2"/>
        <v>Moderate delay</v>
      </c>
      <c r="L23" t="str">
        <f t="shared" si="3"/>
        <v>Far</v>
      </c>
      <c r="M23">
        <v>1576</v>
      </c>
      <c r="N23">
        <f t="shared" si="4"/>
        <v>469648</v>
      </c>
    </row>
    <row r="24" spans="1:14" x14ac:dyDescent="0.25">
      <c r="A24" t="s">
        <v>55</v>
      </c>
      <c r="B24">
        <v>292</v>
      </c>
      <c r="C24">
        <v>36</v>
      </c>
      <c r="D24" s="2">
        <f t="shared" si="0"/>
        <v>0.12328767123287671</v>
      </c>
      <c r="E24" s="2" t="str">
        <f t="shared" si="1"/>
        <v>Medium loss</v>
      </c>
      <c r="F24">
        <v>252</v>
      </c>
      <c r="G24" t="s">
        <v>41</v>
      </c>
      <c r="H24" t="s">
        <v>32</v>
      </c>
      <c r="I24">
        <v>2.8</v>
      </c>
      <c r="J24">
        <v>1</v>
      </c>
      <c r="K24" t="str">
        <f t="shared" si="2"/>
        <v>Quick sale</v>
      </c>
      <c r="L24" t="str">
        <f t="shared" si="3"/>
        <v>Near</v>
      </c>
      <c r="M24">
        <v>1283</v>
      </c>
      <c r="N24">
        <f t="shared" si="4"/>
        <v>323316</v>
      </c>
    </row>
    <row r="25" spans="1:14" x14ac:dyDescent="0.25">
      <c r="A25" t="s">
        <v>56</v>
      </c>
      <c r="B25">
        <v>581</v>
      </c>
      <c r="C25">
        <v>60</v>
      </c>
      <c r="D25" s="2">
        <f t="shared" si="0"/>
        <v>0.10327022375215146</v>
      </c>
      <c r="E25" s="2" t="str">
        <f t="shared" si="1"/>
        <v>Medium loss</v>
      </c>
      <c r="F25">
        <v>511</v>
      </c>
      <c r="G25" t="s">
        <v>64</v>
      </c>
      <c r="H25" t="s">
        <v>32</v>
      </c>
      <c r="I25">
        <v>18.2</v>
      </c>
      <c r="J25">
        <v>3</v>
      </c>
      <c r="K25" t="str">
        <f t="shared" si="2"/>
        <v>Moderate delay</v>
      </c>
      <c r="L25" t="str">
        <f t="shared" si="3"/>
        <v>Medium distance</v>
      </c>
      <c r="M25">
        <v>726</v>
      </c>
      <c r="N25">
        <f t="shared" si="4"/>
        <v>370986</v>
      </c>
    </row>
    <row r="26" spans="1:14" x14ac:dyDescent="0.25">
      <c r="A26" t="s">
        <v>58</v>
      </c>
      <c r="B26">
        <v>571</v>
      </c>
      <c r="C26">
        <v>112</v>
      </c>
      <c r="D26" s="2">
        <f t="shared" si="0"/>
        <v>0.19614711033274956</v>
      </c>
      <c r="E26" s="2" t="str">
        <f t="shared" si="1"/>
        <v>Medium loss</v>
      </c>
      <c r="F26">
        <v>451</v>
      </c>
      <c r="G26" t="s">
        <v>41</v>
      </c>
      <c r="H26" t="s">
        <v>20</v>
      </c>
      <c r="I26">
        <v>24.4</v>
      </c>
      <c r="J26">
        <v>4</v>
      </c>
      <c r="K26" t="str">
        <f t="shared" si="2"/>
        <v>Long delay</v>
      </c>
      <c r="L26" t="str">
        <f t="shared" si="3"/>
        <v>Medium distance</v>
      </c>
      <c r="M26">
        <v>1377</v>
      </c>
      <c r="N26">
        <f t="shared" si="4"/>
        <v>621027</v>
      </c>
    </row>
    <row r="27" spans="1:14" x14ac:dyDescent="0.25">
      <c r="A27" t="s">
        <v>60</v>
      </c>
      <c r="B27">
        <v>845</v>
      </c>
      <c r="C27">
        <v>101</v>
      </c>
      <c r="D27" s="2">
        <f t="shared" si="0"/>
        <v>0.11952662721893491</v>
      </c>
      <c r="E27" s="2" t="str">
        <f t="shared" si="1"/>
        <v>Medium loss</v>
      </c>
      <c r="F27">
        <v>727</v>
      </c>
      <c r="G27" t="s">
        <v>64</v>
      </c>
      <c r="H27" t="s">
        <v>32</v>
      </c>
      <c r="I27">
        <v>4.8</v>
      </c>
      <c r="J27">
        <v>4</v>
      </c>
      <c r="K27" t="str">
        <f t="shared" si="2"/>
        <v>Long delay</v>
      </c>
      <c r="L27" t="str">
        <f t="shared" si="3"/>
        <v>Near</v>
      </c>
      <c r="M27">
        <v>1594</v>
      </c>
      <c r="N27">
        <f t="shared" si="4"/>
        <v>1158838</v>
      </c>
    </row>
    <row r="28" spans="1:14" x14ac:dyDescent="0.25">
      <c r="A28" t="s">
        <v>61</v>
      </c>
      <c r="B28">
        <v>634</v>
      </c>
      <c r="C28">
        <v>102</v>
      </c>
      <c r="D28" s="2">
        <f t="shared" si="0"/>
        <v>0.16088328075709779</v>
      </c>
      <c r="E28" s="2" t="str">
        <f t="shared" si="1"/>
        <v>Medium loss</v>
      </c>
      <c r="F28">
        <v>505</v>
      </c>
      <c r="G28" t="s">
        <v>41</v>
      </c>
      <c r="H28" t="s">
        <v>32</v>
      </c>
      <c r="I28">
        <v>26</v>
      </c>
      <c r="J28">
        <v>3</v>
      </c>
      <c r="K28" t="str">
        <f t="shared" si="2"/>
        <v>Moderate delay</v>
      </c>
      <c r="L28" t="str">
        <f t="shared" si="3"/>
        <v>Medium distance</v>
      </c>
      <c r="M28">
        <v>773</v>
      </c>
      <c r="N28">
        <f t="shared" si="4"/>
        <v>390365</v>
      </c>
    </row>
    <row r="29" spans="1:14" x14ac:dyDescent="0.25">
      <c r="A29" t="s">
        <v>62</v>
      </c>
      <c r="B29">
        <v>609</v>
      </c>
      <c r="C29">
        <v>76</v>
      </c>
      <c r="D29" s="2">
        <f t="shared" si="0"/>
        <v>0.12479474548440066</v>
      </c>
      <c r="E29" s="2" t="str">
        <f t="shared" si="1"/>
        <v>Medium loss</v>
      </c>
      <c r="F29">
        <v>529</v>
      </c>
      <c r="G29" t="s">
        <v>64</v>
      </c>
      <c r="H29" t="s">
        <v>11</v>
      </c>
      <c r="I29">
        <v>3.2</v>
      </c>
      <c r="J29">
        <v>4</v>
      </c>
      <c r="K29" t="str">
        <f t="shared" si="2"/>
        <v>Long delay</v>
      </c>
      <c r="L29" t="str">
        <f t="shared" si="3"/>
        <v>Near</v>
      </c>
      <c r="M29">
        <v>703</v>
      </c>
      <c r="N29">
        <f t="shared" si="4"/>
        <v>371887</v>
      </c>
    </row>
    <row r="30" spans="1:14" x14ac:dyDescent="0.25">
      <c r="A30" t="s">
        <v>65</v>
      </c>
      <c r="B30">
        <v>370</v>
      </c>
      <c r="C30">
        <v>60</v>
      </c>
      <c r="D30" s="2">
        <f t="shared" si="0"/>
        <v>0.16216216216216217</v>
      </c>
      <c r="E30" s="2" t="str">
        <f t="shared" si="1"/>
        <v>Medium loss</v>
      </c>
      <c r="F30">
        <v>284</v>
      </c>
      <c r="G30" t="s">
        <v>64</v>
      </c>
      <c r="H30" t="s">
        <v>11</v>
      </c>
      <c r="I30">
        <v>8.5</v>
      </c>
      <c r="J30">
        <v>4</v>
      </c>
      <c r="K30" t="str">
        <f t="shared" si="2"/>
        <v>Long delay</v>
      </c>
      <c r="L30" t="str">
        <f t="shared" si="3"/>
        <v>Near</v>
      </c>
      <c r="M30">
        <v>1516</v>
      </c>
      <c r="N30">
        <f t="shared" si="4"/>
        <v>430544</v>
      </c>
    </row>
    <row r="31" spans="1:14" x14ac:dyDescent="0.25">
      <c r="A31" t="s">
        <v>66</v>
      </c>
      <c r="B31">
        <v>395</v>
      </c>
      <c r="C31">
        <v>34</v>
      </c>
      <c r="D31" s="2">
        <f t="shared" si="0"/>
        <v>8.6075949367088608E-2</v>
      </c>
      <c r="E31" s="2" t="str">
        <f t="shared" si="1"/>
        <v>Lowest loss</v>
      </c>
      <c r="F31">
        <v>341</v>
      </c>
      <c r="G31" t="s">
        <v>99</v>
      </c>
      <c r="H31" t="s">
        <v>11</v>
      </c>
      <c r="I31">
        <v>4.4000000000000004</v>
      </c>
      <c r="J31">
        <v>2</v>
      </c>
      <c r="K31" t="str">
        <f t="shared" si="2"/>
        <v>Moderate delay</v>
      </c>
      <c r="L31" t="str">
        <f t="shared" si="3"/>
        <v>Near</v>
      </c>
      <c r="M31">
        <v>876</v>
      </c>
      <c r="N31">
        <f t="shared" si="4"/>
        <v>298716</v>
      </c>
    </row>
    <row r="32" spans="1:14" x14ac:dyDescent="0.25">
      <c r="A32" t="s">
        <v>67</v>
      </c>
      <c r="B32">
        <v>571</v>
      </c>
      <c r="C32">
        <v>103</v>
      </c>
      <c r="D32" s="2">
        <f t="shared" si="0"/>
        <v>0.18038528896672504</v>
      </c>
      <c r="E32" s="2" t="str">
        <f t="shared" si="1"/>
        <v>Medium loss</v>
      </c>
      <c r="F32">
        <v>437</v>
      </c>
      <c r="G32" t="s">
        <v>64</v>
      </c>
      <c r="H32" t="s">
        <v>32</v>
      </c>
      <c r="I32">
        <v>43.5</v>
      </c>
      <c r="J32">
        <v>3</v>
      </c>
      <c r="K32" t="str">
        <f t="shared" si="2"/>
        <v>Moderate delay</v>
      </c>
      <c r="L32" t="str">
        <f t="shared" si="3"/>
        <v>Far</v>
      </c>
      <c r="M32" s="6">
        <v>1476</v>
      </c>
      <c r="N32">
        <f t="shared" si="4"/>
        <v>645012</v>
      </c>
    </row>
    <row r="33" spans="1:14" x14ac:dyDescent="0.25">
      <c r="A33" t="s">
        <v>69</v>
      </c>
      <c r="B33">
        <v>404</v>
      </c>
      <c r="C33">
        <v>36</v>
      </c>
      <c r="D33" s="2">
        <f t="shared" si="0"/>
        <v>8.9108910891089105E-2</v>
      </c>
      <c r="E33" s="2" t="str">
        <f t="shared" si="1"/>
        <v>Lowest loss</v>
      </c>
      <c r="F33">
        <v>354</v>
      </c>
      <c r="G33" t="s">
        <v>41</v>
      </c>
      <c r="H33" t="s">
        <v>20</v>
      </c>
      <c r="I33">
        <v>16.3</v>
      </c>
      <c r="J33">
        <v>1</v>
      </c>
      <c r="K33" t="str">
        <f t="shared" si="2"/>
        <v>Quick sale</v>
      </c>
      <c r="L33" t="str">
        <f t="shared" si="3"/>
        <v>Medium distance</v>
      </c>
      <c r="M33">
        <v>1304</v>
      </c>
      <c r="N33">
        <f t="shared" si="4"/>
        <v>461616</v>
      </c>
    </row>
    <row r="34" spans="1:14" x14ac:dyDescent="0.25">
      <c r="A34" t="s">
        <v>70</v>
      </c>
      <c r="B34">
        <v>1160</v>
      </c>
      <c r="C34">
        <v>115</v>
      </c>
      <c r="D34" s="2">
        <f t="shared" si="0"/>
        <v>9.9137931034482762E-2</v>
      </c>
      <c r="E34" s="2" t="str">
        <f t="shared" si="1"/>
        <v>Lowest loss</v>
      </c>
      <c r="F34">
        <v>1020</v>
      </c>
      <c r="G34" t="s">
        <v>64</v>
      </c>
      <c r="H34" t="s">
        <v>20</v>
      </c>
      <c r="I34">
        <v>6.2</v>
      </c>
      <c r="J34">
        <v>5</v>
      </c>
      <c r="K34" t="str">
        <f t="shared" si="2"/>
        <v>Long delay</v>
      </c>
      <c r="L34" t="str">
        <f t="shared" si="3"/>
        <v>Near</v>
      </c>
      <c r="M34">
        <v>654</v>
      </c>
      <c r="N34">
        <f t="shared" si="4"/>
        <v>667080</v>
      </c>
    </row>
    <row r="35" spans="1:14" x14ac:dyDescent="0.25">
      <c r="A35" t="s">
        <v>71</v>
      </c>
      <c r="B35">
        <v>426</v>
      </c>
      <c r="C35">
        <v>72</v>
      </c>
      <c r="D35" s="2">
        <f t="shared" si="0"/>
        <v>0.16901408450704225</v>
      </c>
      <c r="E35" s="2" t="str">
        <f t="shared" si="1"/>
        <v>Medium loss</v>
      </c>
      <c r="F35">
        <v>331</v>
      </c>
      <c r="G35" t="s">
        <v>41</v>
      </c>
      <c r="H35" t="s">
        <v>20</v>
      </c>
      <c r="I35">
        <v>15</v>
      </c>
      <c r="J35">
        <v>2</v>
      </c>
      <c r="K35" t="str">
        <f t="shared" si="2"/>
        <v>Moderate delay</v>
      </c>
      <c r="L35" t="str">
        <f t="shared" si="3"/>
        <v>Medium distance</v>
      </c>
      <c r="M35">
        <v>1339</v>
      </c>
      <c r="N35">
        <f t="shared" si="4"/>
        <v>443209</v>
      </c>
    </row>
    <row r="36" spans="1:14" x14ac:dyDescent="0.25">
      <c r="A36" t="s">
        <v>72</v>
      </c>
      <c r="B36">
        <v>516</v>
      </c>
      <c r="C36">
        <v>26</v>
      </c>
      <c r="D36" s="2">
        <f t="shared" si="0"/>
        <v>5.0387596899224806E-2</v>
      </c>
      <c r="E36" s="2" t="str">
        <f t="shared" si="1"/>
        <v>Lowest loss</v>
      </c>
      <c r="F36">
        <v>470</v>
      </c>
      <c r="G36" t="s">
        <v>99</v>
      </c>
      <c r="H36" t="s">
        <v>14</v>
      </c>
      <c r="I36">
        <v>6.2</v>
      </c>
      <c r="J36">
        <v>1</v>
      </c>
      <c r="K36" t="str">
        <f t="shared" si="2"/>
        <v>Quick sale</v>
      </c>
      <c r="L36" t="str">
        <f t="shared" si="3"/>
        <v>Near</v>
      </c>
      <c r="M36">
        <v>1335</v>
      </c>
      <c r="N36">
        <f t="shared" si="4"/>
        <v>627450</v>
      </c>
    </row>
    <row r="37" spans="1:14" x14ac:dyDescent="0.25">
      <c r="A37" t="s">
        <v>73</v>
      </c>
      <c r="B37">
        <v>279</v>
      </c>
      <c r="C37">
        <v>36</v>
      </c>
      <c r="D37" s="2">
        <f t="shared" si="0"/>
        <v>0.12903225806451613</v>
      </c>
      <c r="E37" s="2" t="str">
        <f t="shared" si="1"/>
        <v>Medium loss</v>
      </c>
      <c r="F37">
        <v>233</v>
      </c>
      <c r="G37" t="s">
        <v>64</v>
      </c>
      <c r="H37" t="s">
        <v>20</v>
      </c>
      <c r="I37">
        <v>12.3</v>
      </c>
      <c r="J37">
        <v>3</v>
      </c>
      <c r="K37" t="str">
        <f t="shared" si="2"/>
        <v>Moderate delay</v>
      </c>
      <c r="L37" t="str">
        <f t="shared" si="3"/>
        <v>Medium distance</v>
      </c>
      <c r="M37">
        <v>1401</v>
      </c>
      <c r="N37">
        <f t="shared" si="4"/>
        <v>326433</v>
      </c>
    </row>
    <row r="38" spans="1:14" x14ac:dyDescent="0.25">
      <c r="A38" t="s">
        <v>74</v>
      </c>
      <c r="B38">
        <v>445</v>
      </c>
      <c r="C38">
        <v>49</v>
      </c>
      <c r="D38" s="2">
        <f t="shared" si="0"/>
        <v>0.1101123595505618</v>
      </c>
      <c r="E38" s="2" t="str">
        <f t="shared" si="1"/>
        <v>Medium loss</v>
      </c>
      <c r="F38">
        <v>391</v>
      </c>
      <c r="G38" t="s">
        <v>99</v>
      </c>
      <c r="H38" t="s">
        <v>11</v>
      </c>
      <c r="I38">
        <v>3.7</v>
      </c>
      <c r="J38">
        <v>5</v>
      </c>
      <c r="K38" t="str">
        <f t="shared" si="2"/>
        <v>Long delay</v>
      </c>
      <c r="L38" t="str">
        <f t="shared" si="3"/>
        <v>Near</v>
      </c>
      <c r="M38" s="6">
        <v>1115</v>
      </c>
      <c r="N38">
        <f t="shared" si="4"/>
        <v>435965</v>
      </c>
    </row>
    <row r="39" spans="1:14" x14ac:dyDescent="0.25">
      <c r="A39" t="s">
        <v>76</v>
      </c>
      <c r="B39">
        <v>676</v>
      </c>
      <c r="C39">
        <v>105</v>
      </c>
      <c r="D39" s="2">
        <f t="shared" si="0"/>
        <v>0.15532544378698224</v>
      </c>
      <c r="E39" s="2" t="str">
        <f t="shared" si="1"/>
        <v>Medium loss</v>
      </c>
      <c r="F39">
        <v>548</v>
      </c>
      <c r="G39" t="s">
        <v>41</v>
      </c>
      <c r="H39" t="s">
        <v>20</v>
      </c>
      <c r="I39">
        <v>12.2</v>
      </c>
      <c r="J39">
        <v>6</v>
      </c>
      <c r="K39" t="str">
        <f t="shared" si="2"/>
        <v>Long delay</v>
      </c>
      <c r="L39" t="str">
        <f t="shared" si="3"/>
        <v>Medium distance</v>
      </c>
      <c r="M39">
        <v>1297</v>
      </c>
      <c r="N39">
        <f t="shared" si="4"/>
        <v>710756</v>
      </c>
    </row>
    <row r="40" spans="1:14" x14ac:dyDescent="0.25">
      <c r="A40" t="s">
        <v>77</v>
      </c>
      <c r="B40">
        <v>484</v>
      </c>
      <c r="C40">
        <v>76</v>
      </c>
      <c r="D40" s="2">
        <f t="shared" si="0"/>
        <v>0.15702479338842976</v>
      </c>
      <c r="E40" s="2" t="str">
        <f t="shared" si="1"/>
        <v>Medium loss</v>
      </c>
      <c r="F40">
        <v>403</v>
      </c>
      <c r="G40" t="s">
        <v>41</v>
      </c>
      <c r="H40" t="s">
        <v>11</v>
      </c>
      <c r="I40">
        <v>4.7</v>
      </c>
      <c r="J40">
        <v>2</v>
      </c>
      <c r="K40" t="str">
        <f t="shared" si="2"/>
        <v>Moderate delay</v>
      </c>
      <c r="L40" t="str">
        <f t="shared" si="3"/>
        <v>Near</v>
      </c>
      <c r="M40" s="6">
        <v>1720</v>
      </c>
      <c r="N40">
        <f t="shared" si="4"/>
        <v>693160</v>
      </c>
    </row>
    <row r="41" spans="1:14" x14ac:dyDescent="0.25">
      <c r="A41" t="s">
        <v>79</v>
      </c>
      <c r="B41">
        <v>546</v>
      </c>
      <c r="C41">
        <v>26</v>
      </c>
      <c r="D41" s="2">
        <f t="shared" si="0"/>
        <v>4.7619047619047616E-2</v>
      </c>
      <c r="E41" s="2" t="str">
        <f t="shared" si="1"/>
        <v>Lowest loss</v>
      </c>
      <c r="F41">
        <v>508</v>
      </c>
      <c r="G41" t="s">
        <v>41</v>
      </c>
      <c r="H41" t="s">
        <v>32</v>
      </c>
      <c r="I41">
        <v>14.3</v>
      </c>
      <c r="J41">
        <v>2</v>
      </c>
      <c r="K41" t="str">
        <f t="shared" si="2"/>
        <v>Moderate delay</v>
      </c>
      <c r="L41" t="str">
        <f t="shared" si="3"/>
        <v>Medium distance</v>
      </c>
      <c r="M41">
        <v>1016</v>
      </c>
      <c r="N41">
        <f t="shared" si="4"/>
        <v>516128</v>
      </c>
    </row>
    <row r="42" spans="1:14" x14ac:dyDescent="0.25">
      <c r="A42" t="s">
        <v>80</v>
      </c>
      <c r="B42">
        <v>227</v>
      </c>
      <c r="C42">
        <v>23</v>
      </c>
      <c r="D42" s="2">
        <f t="shared" si="0"/>
        <v>0.1013215859030837</v>
      </c>
      <c r="E42" s="2" t="str">
        <f t="shared" si="1"/>
        <v>Medium loss</v>
      </c>
      <c r="F42">
        <v>192</v>
      </c>
      <c r="G42" t="s">
        <v>64</v>
      </c>
      <c r="H42" t="s">
        <v>20</v>
      </c>
      <c r="I42">
        <v>6.4</v>
      </c>
      <c r="J42">
        <v>1</v>
      </c>
      <c r="K42" t="str">
        <f t="shared" si="2"/>
        <v>Quick sale</v>
      </c>
      <c r="L42" t="str">
        <f t="shared" si="3"/>
        <v>Near</v>
      </c>
      <c r="M42">
        <v>1039</v>
      </c>
      <c r="N42">
        <f t="shared" si="4"/>
        <v>199488</v>
      </c>
    </row>
    <row r="43" spans="1:14" x14ac:dyDescent="0.25">
      <c r="A43" t="s">
        <v>82</v>
      </c>
      <c r="B43">
        <v>529</v>
      </c>
      <c r="C43">
        <v>47</v>
      </c>
      <c r="D43" s="2">
        <f t="shared" si="0"/>
        <v>8.8846880907372403E-2</v>
      </c>
      <c r="E43" s="2" t="str">
        <f t="shared" si="1"/>
        <v>Lowest loss</v>
      </c>
      <c r="F43">
        <v>349</v>
      </c>
      <c r="G43" t="s">
        <v>41</v>
      </c>
      <c r="H43" t="s">
        <v>32</v>
      </c>
      <c r="I43">
        <v>3.1</v>
      </c>
      <c r="J43">
        <v>2</v>
      </c>
      <c r="K43" t="str">
        <f t="shared" si="2"/>
        <v>Moderate delay</v>
      </c>
      <c r="L43" t="str">
        <f t="shared" si="3"/>
        <v>Near</v>
      </c>
      <c r="M43">
        <v>920</v>
      </c>
      <c r="N43">
        <f t="shared" si="4"/>
        <v>321080</v>
      </c>
    </row>
    <row r="44" spans="1:14" x14ac:dyDescent="0.25">
      <c r="A44" t="s">
        <v>83</v>
      </c>
      <c r="B44">
        <v>910</v>
      </c>
      <c r="C44">
        <v>72</v>
      </c>
      <c r="D44" s="2">
        <f t="shared" si="0"/>
        <v>7.9120879120879117E-2</v>
      </c>
      <c r="E44" s="2" t="str">
        <f t="shared" si="1"/>
        <v>Lowest loss</v>
      </c>
      <c r="F44">
        <v>733</v>
      </c>
      <c r="G44" t="s">
        <v>64</v>
      </c>
      <c r="H44" t="s">
        <v>32</v>
      </c>
      <c r="I44">
        <v>8.9</v>
      </c>
      <c r="J44">
        <v>3</v>
      </c>
      <c r="K44" t="str">
        <f t="shared" si="2"/>
        <v>Moderate delay</v>
      </c>
      <c r="L44" t="str">
        <f t="shared" si="3"/>
        <v>Near</v>
      </c>
      <c r="M44">
        <v>1374</v>
      </c>
      <c r="N44">
        <f t="shared" si="4"/>
        <v>1007142</v>
      </c>
    </row>
    <row r="45" spans="1:14" x14ac:dyDescent="0.25">
      <c r="A45" t="s">
        <v>85</v>
      </c>
      <c r="B45">
        <v>315</v>
      </c>
      <c r="C45">
        <v>48</v>
      </c>
      <c r="D45" s="2">
        <f t="shared" si="0"/>
        <v>0.15238095238095239</v>
      </c>
      <c r="E45" s="2" t="str">
        <f t="shared" si="1"/>
        <v>Medium loss</v>
      </c>
      <c r="F45">
        <v>256</v>
      </c>
      <c r="G45" t="s">
        <v>64</v>
      </c>
      <c r="H45" t="s">
        <v>29</v>
      </c>
      <c r="I45">
        <v>21.3</v>
      </c>
      <c r="J45">
        <v>3</v>
      </c>
      <c r="K45" t="str">
        <f t="shared" si="2"/>
        <v>Moderate delay</v>
      </c>
      <c r="L45" t="str">
        <f t="shared" si="3"/>
        <v>Medium distance</v>
      </c>
      <c r="M45">
        <v>1022</v>
      </c>
      <c r="N45">
        <f t="shared" si="4"/>
        <v>261632</v>
      </c>
    </row>
    <row r="46" spans="1:14" x14ac:dyDescent="0.25">
      <c r="A46" t="s">
        <v>87</v>
      </c>
      <c r="B46">
        <v>426</v>
      </c>
      <c r="C46">
        <v>95</v>
      </c>
      <c r="D46" s="2">
        <f t="shared" si="0"/>
        <v>0.22300469483568075</v>
      </c>
      <c r="E46" s="2" t="str">
        <f t="shared" si="1"/>
        <v>Highest loss</v>
      </c>
      <c r="F46">
        <v>305</v>
      </c>
      <c r="G46" t="s">
        <v>41</v>
      </c>
      <c r="H46" t="s">
        <v>29</v>
      </c>
      <c r="I46">
        <v>33</v>
      </c>
      <c r="J46">
        <v>4</v>
      </c>
      <c r="K46" t="str">
        <f t="shared" si="2"/>
        <v>Long delay</v>
      </c>
      <c r="L46" t="str">
        <f t="shared" si="3"/>
        <v>Far</v>
      </c>
      <c r="M46">
        <v>1247</v>
      </c>
      <c r="N46">
        <f t="shared" si="4"/>
        <v>380335</v>
      </c>
    </row>
    <row r="47" spans="1:14" x14ac:dyDescent="0.25">
      <c r="A47" t="s">
        <v>88</v>
      </c>
      <c r="B47">
        <v>669</v>
      </c>
      <c r="C47">
        <v>145</v>
      </c>
      <c r="D47" s="2">
        <f t="shared" si="0"/>
        <v>0.21674140508221226</v>
      </c>
      <c r="E47" s="2" t="str">
        <f t="shared" si="1"/>
        <v>Highest loss</v>
      </c>
      <c r="F47">
        <v>511</v>
      </c>
      <c r="G47" t="s">
        <v>99</v>
      </c>
      <c r="H47" t="s">
        <v>32</v>
      </c>
      <c r="I47">
        <v>22.1</v>
      </c>
      <c r="J47">
        <v>6</v>
      </c>
      <c r="K47" t="str">
        <f t="shared" si="2"/>
        <v>Long delay</v>
      </c>
      <c r="L47" t="str">
        <f t="shared" si="3"/>
        <v>Medium distance</v>
      </c>
      <c r="M47">
        <v>1083</v>
      </c>
      <c r="N47">
        <f t="shared" si="4"/>
        <v>553413</v>
      </c>
    </row>
    <row r="48" spans="1:14" x14ac:dyDescent="0.25">
      <c r="A48" t="s">
        <v>90</v>
      </c>
      <c r="B48">
        <v>714</v>
      </c>
      <c r="C48">
        <v>97</v>
      </c>
      <c r="D48" s="2">
        <f t="shared" si="0"/>
        <v>0.13585434173669467</v>
      </c>
      <c r="E48" s="2" t="str">
        <f t="shared" si="1"/>
        <v>Medium loss</v>
      </c>
      <c r="F48">
        <v>579</v>
      </c>
      <c r="G48" t="s">
        <v>99</v>
      </c>
      <c r="H48" t="s">
        <v>11</v>
      </c>
      <c r="I48">
        <v>20.7</v>
      </c>
      <c r="J48">
        <v>1</v>
      </c>
      <c r="K48" t="str">
        <f t="shared" si="2"/>
        <v>Quick sale</v>
      </c>
      <c r="L48" t="str">
        <f t="shared" si="3"/>
        <v>Medium distance</v>
      </c>
      <c r="M48">
        <v>1134</v>
      </c>
      <c r="N48">
        <f t="shared" si="4"/>
        <v>656586</v>
      </c>
    </row>
    <row r="49" spans="1:14" x14ac:dyDescent="0.25">
      <c r="A49" t="s">
        <v>91</v>
      </c>
      <c r="B49">
        <v>461</v>
      </c>
      <c r="C49">
        <v>81</v>
      </c>
      <c r="D49" s="2">
        <f t="shared" si="0"/>
        <v>0.175704989154013</v>
      </c>
      <c r="E49" s="2" t="str">
        <f t="shared" si="1"/>
        <v>Medium loss</v>
      </c>
      <c r="F49">
        <v>372</v>
      </c>
      <c r="G49" t="s">
        <v>41</v>
      </c>
      <c r="H49" t="s">
        <v>29</v>
      </c>
      <c r="I49">
        <v>13.6</v>
      </c>
      <c r="J49">
        <v>3</v>
      </c>
      <c r="K49" t="str">
        <f t="shared" si="2"/>
        <v>Moderate delay</v>
      </c>
      <c r="L49" t="str">
        <f t="shared" si="3"/>
        <v>Medium distance</v>
      </c>
      <c r="M49">
        <v>1191</v>
      </c>
      <c r="N49">
        <f t="shared" si="4"/>
        <v>443052</v>
      </c>
    </row>
    <row r="50" spans="1:14" x14ac:dyDescent="0.25">
      <c r="A50" t="s">
        <v>92</v>
      </c>
      <c r="B50">
        <v>864</v>
      </c>
      <c r="C50">
        <v>85</v>
      </c>
      <c r="D50" s="2">
        <f t="shared" si="0"/>
        <v>9.8379629629629636E-2</v>
      </c>
      <c r="E50" s="2" t="str">
        <f t="shared" si="1"/>
        <v>Lowest loss</v>
      </c>
      <c r="F50">
        <v>731</v>
      </c>
      <c r="G50" t="s">
        <v>99</v>
      </c>
      <c r="H50" t="s">
        <v>20</v>
      </c>
      <c r="I50">
        <v>7</v>
      </c>
      <c r="J50">
        <v>2</v>
      </c>
      <c r="K50" t="str">
        <f t="shared" si="2"/>
        <v>Moderate delay</v>
      </c>
      <c r="L50" t="str">
        <f t="shared" si="3"/>
        <v>Near</v>
      </c>
      <c r="M50" s="6">
        <v>1342</v>
      </c>
      <c r="N50">
        <f t="shared" si="4"/>
        <v>981002</v>
      </c>
    </row>
    <row r="51" spans="1:14" x14ac:dyDescent="0.25">
      <c r="A51" t="s">
        <v>94</v>
      </c>
      <c r="B51">
        <v>528</v>
      </c>
      <c r="C51">
        <v>79</v>
      </c>
      <c r="D51" s="2">
        <f t="shared" si="0"/>
        <v>0.14962121212121213</v>
      </c>
      <c r="E51" s="2" t="str">
        <f t="shared" si="1"/>
        <v>Medium loss</v>
      </c>
      <c r="F51">
        <v>419</v>
      </c>
      <c r="G51" t="s">
        <v>41</v>
      </c>
      <c r="H51" t="s">
        <v>20</v>
      </c>
      <c r="I51">
        <v>1.5</v>
      </c>
      <c r="J51">
        <v>3</v>
      </c>
      <c r="K51" t="str">
        <f t="shared" si="2"/>
        <v>Moderate delay</v>
      </c>
      <c r="L51" t="str">
        <f t="shared" si="3"/>
        <v>Near</v>
      </c>
      <c r="M51">
        <v>970</v>
      </c>
      <c r="N51">
        <f t="shared" si="4"/>
        <v>406430</v>
      </c>
    </row>
    <row r="52" spans="1:14" x14ac:dyDescent="0.25">
      <c r="A52" t="s">
        <v>96</v>
      </c>
      <c r="B52">
        <v>647</v>
      </c>
      <c r="C52">
        <v>126</v>
      </c>
      <c r="D52" s="2">
        <f t="shared" si="0"/>
        <v>0.19474497681607419</v>
      </c>
      <c r="E52" s="2" t="str">
        <f t="shared" si="1"/>
        <v>Medium loss</v>
      </c>
      <c r="F52">
        <v>514</v>
      </c>
      <c r="G52" t="s">
        <v>41</v>
      </c>
      <c r="H52" t="s">
        <v>11</v>
      </c>
      <c r="I52">
        <v>15.9</v>
      </c>
      <c r="J52">
        <v>6</v>
      </c>
      <c r="K52" t="str">
        <f t="shared" si="2"/>
        <v>Long delay</v>
      </c>
      <c r="L52" t="str">
        <f t="shared" si="3"/>
        <v>Medium distance</v>
      </c>
      <c r="M52">
        <v>1292</v>
      </c>
      <c r="N52">
        <f t="shared" si="4"/>
        <v>664088</v>
      </c>
    </row>
    <row r="53" spans="1:14" x14ac:dyDescent="0.25">
      <c r="A53" t="s">
        <v>97</v>
      </c>
      <c r="B53">
        <v>687</v>
      </c>
      <c r="C53">
        <v>45</v>
      </c>
      <c r="D53" s="2">
        <f t="shared" si="0"/>
        <v>6.5502183406113537E-2</v>
      </c>
      <c r="E53" s="2" t="str">
        <f t="shared" si="1"/>
        <v>Lowest loss</v>
      </c>
      <c r="F53">
        <v>640</v>
      </c>
      <c r="G53" t="s">
        <v>41</v>
      </c>
      <c r="H53" t="s">
        <v>29</v>
      </c>
      <c r="I53">
        <v>6.4</v>
      </c>
      <c r="J53">
        <v>1</v>
      </c>
      <c r="K53" t="str">
        <f t="shared" si="2"/>
        <v>Quick sale</v>
      </c>
      <c r="L53" t="str">
        <f t="shared" si="3"/>
        <v>Near</v>
      </c>
      <c r="M53">
        <v>1231</v>
      </c>
      <c r="N53">
        <f t="shared" si="4"/>
        <v>787840</v>
      </c>
    </row>
    <row r="54" spans="1:14" x14ac:dyDescent="0.25">
      <c r="A54" t="s">
        <v>98</v>
      </c>
      <c r="B54">
        <v>529</v>
      </c>
      <c r="C54">
        <v>52</v>
      </c>
      <c r="D54" s="2">
        <f t="shared" si="0"/>
        <v>9.8298676748582225E-2</v>
      </c>
      <c r="E54" s="2" t="str">
        <f t="shared" si="1"/>
        <v>Lowest loss</v>
      </c>
      <c r="F54">
        <v>443</v>
      </c>
      <c r="G54" t="s">
        <v>99</v>
      </c>
      <c r="H54" t="s">
        <v>11</v>
      </c>
      <c r="I54">
        <v>12.9</v>
      </c>
      <c r="J54">
        <v>2</v>
      </c>
      <c r="K54" t="str">
        <f t="shared" si="2"/>
        <v>Moderate delay</v>
      </c>
      <c r="L54" t="str">
        <f t="shared" si="3"/>
        <v>Medium distance</v>
      </c>
      <c r="M54">
        <v>1964</v>
      </c>
      <c r="N54">
        <f t="shared" si="4"/>
        <v>870052</v>
      </c>
    </row>
    <row r="55" spans="1:14" x14ac:dyDescent="0.25">
      <c r="A55" t="s">
        <v>100</v>
      </c>
      <c r="B55">
        <v>723</v>
      </c>
      <c r="C55">
        <v>72</v>
      </c>
      <c r="D55" s="2">
        <f t="shared" si="0"/>
        <v>9.9585062240663894E-2</v>
      </c>
      <c r="E55" s="2" t="str">
        <f t="shared" si="1"/>
        <v>Lowest loss</v>
      </c>
      <c r="F55">
        <v>563</v>
      </c>
      <c r="G55" t="s">
        <v>99</v>
      </c>
      <c r="H55" t="s">
        <v>20</v>
      </c>
      <c r="I55">
        <v>19</v>
      </c>
      <c r="J55">
        <v>4</v>
      </c>
      <c r="K55" t="str">
        <f t="shared" si="2"/>
        <v>Long delay</v>
      </c>
      <c r="L55" t="str">
        <f t="shared" si="3"/>
        <v>Medium distance</v>
      </c>
      <c r="M55">
        <v>1233</v>
      </c>
      <c r="N55">
        <f t="shared" si="4"/>
        <v>694179</v>
      </c>
    </row>
    <row r="56" spans="1:14" x14ac:dyDescent="0.25">
      <c r="A56" t="s">
        <v>101</v>
      </c>
      <c r="B56">
        <v>1190</v>
      </c>
      <c r="C56">
        <v>180</v>
      </c>
      <c r="D56" s="2">
        <f t="shared" si="0"/>
        <v>0.15126050420168066</v>
      </c>
      <c r="E56" s="2" t="str">
        <f t="shared" si="1"/>
        <v>Medium loss</v>
      </c>
      <c r="F56">
        <v>940</v>
      </c>
      <c r="G56" t="s">
        <v>64</v>
      </c>
      <c r="H56" t="s">
        <v>32</v>
      </c>
      <c r="I56">
        <v>24.8</v>
      </c>
      <c r="J56">
        <v>2</v>
      </c>
      <c r="K56" t="str">
        <f t="shared" si="2"/>
        <v>Moderate delay</v>
      </c>
      <c r="L56" t="str">
        <f t="shared" si="3"/>
        <v>Medium distance</v>
      </c>
      <c r="M56">
        <v>1493</v>
      </c>
      <c r="N56">
        <f t="shared" si="4"/>
        <v>1403420</v>
      </c>
    </row>
    <row r="57" spans="1:14" x14ac:dyDescent="0.25">
      <c r="A57" t="s">
        <v>102</v>
      </c>
      <c r="B57">
        <v>955</v>
      </c>
      <c r="C57">
        <v>96</v>
      </c>
      <c r="D57" s="2">
        <f t="shared" si="0"/>
        <v>0.10052356020942409</v>
      </c>
      <c r="E57" s="2" t="str">
        <f t="shared" si="1"/>
        <v>Medium loss</v>
      </c>
      <c r="F57">
        <v>835</v>
      </c>
      <c r="G57" t="s">
        <v>99</v>
      </c>
      <c r="H57" t="s">
        <v>20</v>
      </c>
      <c r="I57">
        <v>27.5</v>
      </c>
      <c r="J57">
        <v>2</v>
      </c>
      <c r="K57" t="str">
        <f t="shared" si="2"/>
        <v>Moderate delay</v>
      </c>
      <c r="L57" t="str">
        <f t="shared" si="3"/>
        <v>Medium distance</v>
      </c>
      <c r="M57">
        <v>974</v>
      </c>
      <c r="N57">
        <f t="shared" si="4"/>
        <v>813290</v>
      </c>
    </row>
    <row r="58" spans="1:14" x14ac:dyDescent="0.25">
      <c r="A58" t="s">
        <v>103</v>
      </c>
      <c r="B58">
        <v>395</v>
      </c>
      <c r="C58">
        <v>77</v>
      </c>
      <c r="D58" s="2">
        <f t="shared" si="0"/>
        <v>0.19493670886075951</v>
      </c>
      <c r="E58" s="2" t="str">
        <f t="shared" si="1"/>
        <v>Medium loss</v>
      </c>
      <c r="F58">
        <v>288</v>
      </c>
      <c r="G58" t="s">
        <v>104</v>
      </c>
      <c r="H58" t="s">
        <v>11</v>
      </c>
      <c r="I58">
        <v>24.2</v>
      </c>
      <c r="J58">
        <v>7</v>
      </c>
      <c r="K58" t="str">
        <f t="shared" si="2"/>
        <v>Long delay</v>
      </c>
      <c r="L58" t="str">
        <f t="shared" si="3"/>
        <v>Medium distance</v>
      </c>
      <c r="M58">
        <v>1177</v>
      </c>
      <c r="N58">
        <f t="shared" si="4"/>
        <v>338976</v>
      </c>
    </row>
    <row r="59" spans="1:14" x14ac:dyDescent="0.25">
      <c r="A59" t="s">
        <v>105</v>
      </c>
      <c r="B59">
        <v>826</v>
      </c>
      <c r="C59">
        <v>114</v>
      </c>
      <c r="D59" s="2">
        <f t="shared" si="0"/>
        <v>0.13801452784503632</v>
      </c>
      <c r="E59" s="2" t="str">
        <f t="shared" si="1"/>
        <v>Medium loss</v>
      </c>
      <c r="F59">
        <v>688</v>
      </c>
      <c r="G59" t="s">
        <v>64</v>
      </c>
      <c r="H59" t="s">
        <v>11</v>
      </c>
      <c r="I59">
        <v>7.8</v>
      </c>
      <c r="J59">
        <v>4</v>
      </c>
      <c r="K59" t="str">
        <f t="shared" si="2"/>
        <v>Long delay</v>
      </c>
      <c r="L59" t="str">
        <f t="shared" si="3"/>
        <v>Near</v>
      </c>
      <c r="M59">
        <v>838</v>
      </c>
      <c r="N59">
        <f t="shared" si="4"/>
        <v>576544</v>
      </c>
    </row>
    <row r="60" spans="1:14" x14ac:dyDescent="0.25">
      <c r="A60" t="s">
        <v>106</v>
      </c>
      <c r="B60">
        <v>244</v>
      </c>
      <c r="C60">
        <v>5</v>
      </c>
      <c r="D60" s="2">
        <f t="shared" si="0"/>
        <v>2.0491803278688523E-2</v>
      </c>
      <c r="E60" s="2" t="str">
        <f t="shared" si="1"/>
        <v>Lowest loss</v>
      </c>
      <c r="F60">
        <v>235</v>
      </c>
      <c r="G60" t="s">
        <v>99</v>
      </c>
      <c r="H60" t="s">
        <v>20</v>
      </c>
      <c r="I60">
        <v>15.3</v>
      </c>
      <c r="J60">
        <v>1</v>
      </c>
      <c r="K60" t="str">
        <f t="shared" si="2"/>
        <v>Quick sale</v>
      </c>
      <c r="L60" t="str">
        <f t="shared" si="3"/>
        <v>Medium distance</v>
      </c>
      <c r="M60">
        <v>1518</v>
      </c>
      <c r="N60">
        <f t="shared" si="4"/>
        <v>356730</v>
      </c>
    </row>
    <row r="61" spans="1:14" x14ac:dyDescent="0.25">
      <c r="A61" t="s">
        <v>107</v>
      </c>
      <c r="B61">
        <v>423</v>
      </c>
      <c r="C61">
        <v>36</v>
      </c>
      <c r="D61" s="2">
        <f t="shared" si="0"/>
        <v>8.5106382978723402E-2</v>
      </c>
      <c r="E61" s="2" t="str">
        <f t="shared" si="1"/>
        <v>Lowest loss</v>
      </c>
      <c r="F61">
        <v>372</v>
      </c>
      <c r="G61" t="s">
        <v>64</v>
      </c>
      <c r="H61" t="s">
        <v>29</v>
      </c>
      <c r="I61">
        <v>6</v>
      </c>
      <c r="J61">
        <v>1</v>
      </c>
      <c r="K61" t="str">
        <f t="shared" si="2"/>
        <v>Quick sale</v>
      </c>
      <c r="L61" t="str">
        <f t="shared" si="3"/>
        <v>Near</v>
      </c>
      <c r="M61">
        <v>1202</v>
      </c>
      <c r="N61">
        <f t="shared" si="4"/>
        <v>447144</v>
      </c>
    </row>
    <row r="62" spans="1:14" x14ac:dyDescent="0.25">
      <c r="A62" t="s">
        <v>109</v>
      </c>
      <c r="B62">
        <v>254</v>
      </c>
      <c r="C62">
        <v>30</v>
      </c>
      <c r="D62" s="2">
        <f t="shared" si="0"/>
        <v>0.11811023622047244</v>
      </c>
      <c r="E62" s="2" t="str">
        <f t="shared" si="1"/>
        <v>Medium loss</v>
      </c>
      <c r="F62">
        <v>222</v>
      </c>
      <c r="G62" t="s">
        <v>64</v>
      </c>
      <c r="H62" t="s">
        <v>14</v>
      </c>
      <c r="I62">
        <v>7</v>
      </c>
      <c r="J62">
        <v>2</v>
      </c>
      <c r="K62" t="str">
        <f t="shared" si="2"/>
        <v>Moderate delay</v>
      </c>
      <c r="L62" t="str">
        <f t="shared" si="3"/>
        <v>Near</v>
      </c>
      <c r="M62">
        <v>1082</v>
      </c>
      <c r="N62">
        <f t="shared" si="4"/>
        <v>240204</v>
      </c>
    </row>
    <row r="63" spans="1:14" x14ac:dyDescent="0.25">
      <c r="A63" t="s">
        <v>110</v>
      </c>
      <c r="B63">
        <v>408</v>
      </c>
      <c r="C63">
        <v>86</v>
      </c>
      <c r="D63" s="2">
        <f t="shared" si="0"/>
        <v>0.2107843137254902</v>
      </c>
      <c r="E63" s="2" t="str">
        <f t="shared" si="1"/>
        <v>Highest loss</v>
      </c>
      <c r="F63">
        <v>313</v>
      </c>
      <c r="G63" t="s">
        <v>41</v>
      </c>
      <c r="H63" t="s">
        <v>32</v>
      </c>
      <c r="I63">
        <v>35.4</v>
      </c>
      <c r="J63">
        <v>3</v>
      </c>
      <c r="K63" t="str">
        <f t="shared" si="2"/>
        <v>Moderate delay</v>
      </c>
      <c r="L63" t="str">
        <f t="shared" si="3"/>
        <v>Far</v>
      </c>
      <c r="M63">
        <v>1261</v>
      </c>
      <c r="N63">
        <f t="shared" si="4"/>
        <v>394693</v>
      </c>
    </row>
    <row r="64" spans="1:14" x14ac:dyDescent="0.25">
      <c r="A64" t="s">
        <v>111</v>
      </c>
      <c r="B64">
        <v>585</v>
      </c>
      <c r="C64">
        <v>60</v>
      </c>
      <c r="D64" s="2">
        <f t="shared" si="0"/>
        <v>0.10256410256410256</v>
      </c>
      <c r="E64" s="2" t="str">
        <f t="shared" si="1"/>
        <v>Medium loss</v>
      </c>
      <c r="F64">
        <v>480</v>
      </c>
      <c r="G64" t="s">
        <v>64</v>
      </c>
      <c r="H64" t="s">
        <v>11</v>
      </c>
      <c r="I64">
        <v>29.7</v>
      </c>
      <c r="J64">
        <v>1</v>
      </c>
      <c r="K64" t="str">
        <f t="shared" si="2"/>
        <v>Quick sale</v>
      </c>
      <c r="L64" t="str">
        <f t="shared" si="3"/>
        <v>Medium distance</v>
      </c>
      <c r="M64">
        <v>900</v>
      </c>
      <c r="N64">
        <f t="shared" si="4"/>
        <v>432000</v>
      </c>
    </row>
    <row r="65" spans="1:14" x14ac:dyDescent="0.25">
      <c r="A65" t="s">
        <v>112</v>
      </c>
      <c r="B65">
        <v>251</v>
      </c>
      <c r="C65">
        <v>72</v>
      </c>
      <c r="D65" s="2">
        <f t="shared" si="0"/>
        <v>0.28685258964143429</v>
      </c>
      <c r="E65" s="2" t="str">
        <f t="shared" si="1"/>
        <v>Highest loss</v>
      </c>
      <c r="F65">
        <v>207</v>
      </c>
      <c r="G65" t="s">
        <v>64</v>
      </c>
      <c r="H65" t="s">
        <v>32</v>
      </c>
      <c r="I65">
        <v>23.2</v>
      </c>
      <c r="J65">
        <v>2</v>
      </c>
      <c r="K65" t="str">
        <f t="shared" si="2"/>
        <v>Moderate delay</v>
      </c>
      <c r="L65" t="str">
        <f t="shared" si="3"/>
        <v>Medium distance</v>
      </c>
      <c r="M65">
        <v>619</v>
      </c>
      <c r="N65">
        <f t="shared" si="4"/>
        <v>128133</v>
      </c>
    </row>
    <row r="66" spans="1:14" x14ac:dyDescent="0.25">
      <c r="A66" t="s">
        <v>113</v>
      </c>
      <c r="B66">
        <v>443</v>
      </c>
      <c r="C66">
        <v>34</v>
      </c>
      <c r="D66" s="2">
        <f t="shared" si="0"/>
        <v>7.6749435665914217E-2</v>
      </c>
      <c r="E66" s="2" t="str">
        <f t="shared" si="1"/>
        <v>Lowest loss</v>
      </c>
      <c r="F66">
        <v>406</v>
      </c>
      <c r="G66" t="s">
        <v>99</v>
      </c>
      <c r="H66" t="s">
        <v>20</v>
      </c>
      <c r="I66">
        <v>19.399999999999999</v>
      </c>
      <c r="J66">
        <v>2</v>
      </c>
      <c r="K66" t="str">
        <f t="shared" si="2"/>
        <v>Moderate delay</v>
      </c>
      <c r="L66" t="str">
        <f t="shared" si="3"/>
        <v>Medium distance</v>
      </c>
      <c r="M66">
        <v>1573</v>
      </c>
      <c r="N66">
        <f t="shared" si="4"/>
        <v>638638</v>
      </c>
    </row>
    <row r="67" spans="1:14" x14ac:dyDescent="0.25">
      <c r="A67" t="s">
        <v>114</v>
      </c>
      <c r="B67">
        <v>613</v>
      </c>
      <c r="C67">
        <v>93</v>
      </c>
      <c r="D67" s="2">
        <f t="shared" ref="D67:D89" si="5">(C67/B67)</f>
        <v>0.15171288743882544</v>
      </c>
      <c r="E67" s="2" t="str">
        <f t="shared" ref="E67:E130" si="6">IF(D67&lt;=10%,"Lowest loss",IF(D67&lt;=20%,"Medium loss","Highest loss"))</f>
        <v>Medium loss</v>
      </c>
      <c r="F67">
        <v>488</v>
      </c>
      <c r="G67" t="s">
        <v>41</v>
      </c>
      <c r="H67" t="s">
        <v>32</v>
      </c>
      <c r="I67">
        <v>9.9</v>
      </c>
      <c r="J67">
        <v>2</v>
      </c>
      <c r="K67" t="str">
        <f t="shared" ref="K67:K130" si="7">IF(J67="","Missing",IF(J67&lt;=1,"Quick sale",IF(J67&lt;=3,"Moderate delay","Long delay")))</f>
        <v>Moderate delay</v>
      </c>
      <c r="L67" t="str">
        <f t="shared" ref="L67:L130" si="8">IF(I67="","Missing",IF(I67&lt;=10,"Near",IF(I67&lt;=30,"Medium distance","Far")))</f>
        <v>Near</v>
      </c>
      <c r="M67">
        <v>1369</v>
      </c>
      <c r="N67">
        <f t="shared" ref="N67:N130" si="9">IF(OR(F67="",M67=""),"",F67*M67)</f>
        <v>668072</v>
      </c>
    </row>
    <row r="68" spans="1:14" x14ac:dyDescent="0.25">
      <c r="A68" t="s">
        <v>116</v>
      </c>
      <c r="B68">
        <v>246</v>
      </c>
      <c r="C68">
        <v>18</v>
      </c>
      <c r="D68" s="2">
        <f t="shared" si="5"/>
        <v>7.3170731707317069E-2</v>
      </c>
      <c r="E68" s="2" t="str">
        <f t="shared" si="6"/>
        <v>Lowest loss</v>
      </c>
      <c r="F68">
        <v>220</v>
      </c>
      <c r="G68" t="s">
        <v>64</v>
      </c>
      <c r="H68" t="s">
        <v>20</v>
      </c>
      <c r="I68">
        <v>9.3000000000000007</v>
      </c>
      <c r="J68">
        <v>1</v>
      </c>
      <c r="K68" t="str">
        <f t="shared" si="7"/>
        <v>Quick sale</v>
      </c>
      <c r="L68" t="str">
        <f t="shared" si="8"/>
        <v>Near</v>
      </c>
      <c r="M68">
        <v>1347</v>
      </c>
      <c r="N68">
        <f t="shared" si="9"/>
        <v>296340</v>
      </c>
    </row>
    <row r="69" spans="1:14" x14ac:dyDescent="0.25">
      <c r="A69" t="s">
        <v>117</v>
      </c>
      <c r="B69">
        <v>289</v>
      </c>
      <c r="C69">
        <v>23</v>
      </c>
      <c r="D69" s="2">
        <f t="shared" si="5"/>
        <v>7.9584775086505188E-2</v>
      </c>
      <c r="E69" s="2" t="str">
        <f t="shared" si="6"/>
        <v>Lowest loss</v>
      </c>
      <c r="F69">
        <v>253</v>
      </c>
      <c r="G69" t="s">
        <v>64</v>
      </c>
      <c r="H69" t="s">
        <v>20</v>
      </c>
      <c r="I69">
        <v>10.3</v>
      </c>
      <c r="J69">
        <v>1</v>
      </c>
      <c r="K69" t="str">
        <f t="shared" si="7"/>
        <v>Quick sale</v>
      </c>
      <c r="L69" t="str">
        <f t="shared" si="8"/>
        <v>Medium distance</v>
      </c>
      <c r="M69" s="6">
        <v>1483</v>
      </c>
      <c r="N69">
        <f t="shared" si="9"/>
        <v>375199</v>
      </c>
    </row>
    <row r="70" spans="1:14" x14ac:dyDescent="0.25">
      <c r="A70" t="s">
        <v>119</v>
      </c>
      <c r="B70">
        <v>984</v>
      </c>
      <c r="C70">
        <v>72</v>
      </c>
      <c r="D70" s="2">
        <f t="shared" si="5"/>
        <v>7.3170731707317069E-2</v>
      </c>
      <c r="E70" s="2" t="str">
        <f t="shared" si="6"/>
        <v>Lowest loss</v>
      </c>
      <c r="F70">
        <v>873</v>
      </c>
      <c r="G70" t="s">
        <v>99</v>
      </c>
      <c r="H70" t="s">
        <v>29</v>
      </c>
      <c r="I70">
        <v>13.7</v>
      </c>
      <c r="J70">
        <v>1</v>
      </c>
      <c r="K70" t="str">
        <f t="shared" si="7"/>
        <v>Quick sale</v>
      </c>
      <c r="L70" t="str">
        <f t="shared" si="8"/>
        <v>Medium distance</v>
      </c>
      <c r="M70">
        <v>1294</v>
      </c>
      <c r="N70">
        <f t="shared" si="9"/>
        <v>1129662</v>
      </c>
    </row>
    <row r="71" spans="1:14" x14ac:dyDescent="0.25">
      <c r="A71" t="s">
        <v>120</v>
      </c>
      <c r="B71">
        <v>635</v>
      </c>
      <c r="C71">
        <v>86</v>
      </c>
      <c r="D71" s="2">
        <f t="shared" si="5"/>
        <v>0.13543307086614173</v>
      </c>
      <c r="E71" s="2" t="str">
        <f t="shared" si="6"/>
        <v>Medium loss</v>
      </c>
      <c r="F71">
        <v>520</v>
      </c>
      <c r="G71" t="s">
        <v>64</v>
      </c>
      <c r="H71" t="s">
        <v>29</v>
      </c>
      <c r="I71">
        <v>13.3</v>
      </c>
      <c r="J71">
        <v>1</v>
      </c>
      <c r="K71" t="str">
        <f t="shared" si="7"/>
        <v>Quick sale</v>
      </c>
      <c r="L71" t="str">
        <f t="shared" si="8"/>
        <v>Medium distance</v>
      </c>
      <c r="M71">
        <v>762</v>
      </c>
      <c r="N71">
        <f t="shared" si="9"/>
        <v>396240</v>
      </c>
    </row>
    <row r="72" spans="1:14" x14ac:dyDescent="0.25">
      <c r="A72" t="s">
        <v>124</v>
      </c>
      <c r="B72">
        <v>2132</v>
      </c>
      <c r="C72">
        <v>486</v>
      </c>
      <c r="D72" s="2">
        <f t="shared" si="5"/>
        <v>0.22795497185741087</v>
      </c>
      <c r="E72" s="2" t="str">
        <f t="shared" si="6"/>
        <v>Highest loss</v>
      </c>
      <c r="F72">
        <v>1588</v>
      </c>
      <c r="G72" t="s">
        <v>41</v>
      </c>
      <c r="H72" t="s">
        <v>11</v>
      </c>
      <c r="I72">
        <v>56</v>
      </c>
      <c r="J72">
        <v>2</v>
      </c>
      <c r="K72" t="str">
        <f t="shared" si="7"/>
        <v>Moderate delay</v>
      </c>
      <c r="L72" t="str">
        <f t="shared" si="8"/>
        <v>Far</v>
      </c>
      <c r="M72">
        <v>864</v>
      </c>
      <c r="N72">
        <f t="shared" si="9"/>
        <v>1372032</v>
      </c>
    </row>
    <row r="73" spans="1:14" x14ac:dyDescent="0.25">
      <c r="A73" t="s">
        <v>125</v>
      </c>
      <c r="B73">
        <v>307</v>
      </c>
      <c r="C73">
        <v>23</v>
      </c>
      <c r="D73" s="2">
        <f t="shared" si="5"/>
        <v>7.4918566775244305E-2</v>
      </c>
      <c r="E73" s="2" t="str">
        <f t="shared" si="6"/>
        <v>Lowest loss</v>
      </c>
      <c r="F73">
        <v>260</v>
      </c>
      <c r="G73" t="s">
        <v>64</v>
      </c>
      <c r="H73" t="s">
        <v>11</v>
      </c>
      <c r="I73">
        <v>1.8</v>
      </c>
      <c r="J73">
        <v>1</v>
      </c>
      <c r="K73" t="str">
        <f t="shared" si="7"/>
        <v>Quick sale</v>
      </c>
      <c r="L73" t="str">
        <f t="shared" si="8"/>
        <v>Near</v>
      </c>
      <c r="M73">
        <v>795</v>
      </c>
      <c r="N73">
        <f t="shared" si="9"/>
        <v>206700</v>
      </c>
    </row>
    <row r="74" spans="1:14" x14ac:dyDescent="0.25">
      <c r="A74" t="s">
        <v>127</v>
      </c>
      <c r="B74">
        <v>860</v>
      </c>
      <c r="C74">
        <v>96</v>
      </c>
      <c r="D74" s="2">
        <f t="shared" si="5"/>
        <v>0.11162790697674418</v>
      </c>
      <c r="E74" s="2" t="str">
        <f t="shared" si="6"/>
        <v>Medium loss</v>
      </c>
      <c r="F74">
        <v>695</v>
      </c>
      <c r="G74" t="s">
        <v>99</v>
      </c>
      <c r="H74" t="s">
        <v>32</v>
      </c>
      <c r="I74">
        <v>15.6</v>
      </c>
      <c r="J74">
        <v>3</v>
      </c>
      <c r="K74" t="str">
        <f t="shared" si="7"/>
        <v>Moderate delay</v>
      </c>
      <c r="L74" t="str">
        <f t="shared" si="8"/>
        <v>Medium distance</v>
      </c>
      <c r="M74">
        <v>953</v>
      </c>
      <c r="N74">
        <f t="shared" si="9"/>
        <v>662335</v>
      </c>
    </row>
    <row r="75" spans="1:14" x14ac:dyDescent="0.25">
      <c r="A75" t="s">
        <v>128</v>
      </c>
      <c r="B75">
        <v>436</v>
      </c>
      <c r="C75">
        <v>83</v>
      </c>
      <c r="D75" s="2">
        <f t="shared" si="5"/>
        <v>0.19036697247706422</v>
      </c>
      <c r="E75" s="2" t="str">
        <f t="shared" si="6"/>
        <v>Medium loss</v>
      </c>
      <c r="F75">
        <v>347</v>
      </c>
      <c r="G75" t="s">
        <v>41</v>
      </c>
      <c r="H75" t="s">
        <v>32</v>
      </c>
      <c r="I75">
        <v>10.8</v>
      </c>
      <c r="J75">
        <v>2</v>
      </c>
      <c r="K75" t="str">
        <f t="shared" si="7"/>
        <v>Moderate delay</v>
      </c>
      <c r="L75" t="str">
        <f t="shared" si="8"/>
        <v>Medium distance</v>
      </c>
      <c r="M75">
        <v>1388</v>
      </c>
      <c r="N75">
        <f t="shared" si="9"/>
        <v>481636</v>
      </c>
    </row>
    <row r="76" spans="1:14" x14ac:dyDescent="0.25">
      <c r="A76" t="s">
        <v>130</v>
      </c>
      <c r="B76">
        <v>529</v>
      </c>
      <c r="C76">
        <v>40</v>
      </c>
      <c r="D76" s="2">
        <f t="shared" si="5"/>
        <v>7.5614366729678639E-2</v>
      </c>
      <c r="E76" s="2" t="str">
        <f t="shared" si="6"/>
        <v>Lowest loss</v>
      </c>
      <c r="F76">
        <v>247</v>
      </c>
      <c r="G76" t="s">
        <v>64</v>
      </c>
      <c r="H76" t="s">
        <v>20</v>
      </c>
      <c r="I76">
        <v>26.8</v>
      </c>
      <c r="J76">
        <v>3</v>
      </c>
      <c r="K76" t="str">
        <f t="shared" si="7"/>
        <v>Moderate delay</v>
      </c>
      <c r="L76" t="str">
        <f t="shared" si="8"/>
        <v>Medium distance</v>
      </c>
      <c r="M76">
        <v>1318</v>
      </c>
      <c r="N76">
        <f t="shared" si="9"/>
        <v>325546</v>
      </c>
    </row>
    <row r="77" spans="1:14" x14ac:dyDescent="0.25">
      <c r="A77" t="s">
        <v>131</v>
      </c>
      <c r="B77">
        <v>353</v>
      </c>
      <c r="C77">
        <v>44</v>
      </c>
      <c r="D77" s="2">
        <f t="shared" si="5"/>
        <v>0.12464589235127478</v>
      </c>
      <c r="E77" s="2" t="str">
        <f t="shared" si="6"/>
        <v>Medium loss</v>
      </c>
      <c r="F77">
        <v>295</v>
      </c>
      <c r="G77" t="s">
        <v>64</v>
      </c>
      <c r="H77" t="s">
        <v>20</v>
      </c>
      <c r="I77">
        <v>23.1</v>
      </c>
      <c r="J77">
        <v>1</v>
      </c>
      <c r="K77" t="str">
        <f t="shared" si="7"/>
        <v>Quick sale</v>
      </c>
      <c r="L77" t="str">
        <f t="shared" si="8"/>
        <v>Medium distance</v>
      </c>
      <c r="M77">
        <v>1317</v>
      </c>
      <c r="N77">
        <f t="shared" si="9"/>
        <v>388515</v>
      </c>
    </row>
    <row r="78" spans="1:14" x14ac:dyDescent="0.25">
      <c r="A78" t="s">
        <v>132</v>
      </c>
      <c r="B78">
        <v>733</v>
      </c>
      <c r="C78">
        <v>129</v>
      </c>
      <c r="D78" s="2">
        <f t="shared" si="5"/>
        <v>0.17598908594815826</v>
      </c>
      <c r="E78" s="2" t="str">
        <f t="shared" si="6"/>
        <v>Medium loss</v>
      </c>
      <c r="F78">
        <v>561</v>
      </c>
      <c r="G78" t="s">
        <v>64</v>
      </c>
      <c r="H78" t="s">
        <v>20</v>
      </c>
      <c r="I78">
        <v>14.3</v>
      </c>
      <c r="J78">
        <v>5</v>
      </c>
      <c r="K78" t="str">
        <f t="shared" si="7"/>
        <v>Long delay</v>
      </c>
      <c r="L78" t="str">
        <f t="shared" si="8"/>
        <v>Medium distance</v>
      </c>
      <c r="M78">
        <v>787</v>
      </c>
      <c r="N78">
        <f t="shared" si="9"/>
        <v>441507</v>
      </c>
    </row>
    <row r="79" spans="1:14" x14ac:dyDescent="0.25">
      <c r="A79" t="s">
        <v>133</v>
      </c>
      <c r="B79">
        <v>770</v>
      </c>
      <c r="C79">
        <v>111</v>
      </c>
      <c r="D79" s="2">
        <f t="shared" si="5"/>
        <v>0.14415584415584415</v>
      </c>
      <c r="E79" s="2" t="str">
        <f t="shared" si="6"/>
        <v>Medium loss</v>
      </c>
      <c r="F79">
        <v>602</v>
      </c>
      <c r="G79" t="s">
        <v>64</v>
      </c>
      <c r="H79" t="s">
        <v>29</v>
      </c>
      <c r="I79">
        <v>22.2</v>
      </c>
      <c r="J79">
        <v>4</v>
      </c>
      <c r="K79" t="str">
        <f t="shared" si="7"/>
        <v>Long delay</v>
      </c>
      <c r="L79" t="str">
        <f t="shared" si="8"/>
        <v>Medium distance</v>
      </c>
      <c r="M79">
        <v>1213</v>
      </c>
      <c r="N79">
        <f t="shared" si="9"/>
        <v>730226</v>
      </c>
    </row>
    <row r="80" spans="1:14" x14ac:dyDescent="0.25">
      <c r="A80" t="s">
        <v>134</v>
      </c>
      <c r="B80">
        <v>484</v>
      </c>
      <c r="C80">
        <v>50</v>
      </c>
      <c r="D80" s="2">
        <f t="shared" si="5"/>
        <v>0.10330578512396695</v>
      </c>
      <c r="E80" s="2" t="str">
        <f t="shared" si="6"/>
        <v>Medium loss</v>
      </c>
      <c r="F80">
        <v>405</v>
      </c>
      <c r="G80" t="s">
        <v>99</v>
      </c>
      <c r="H80" t="s">
        <v>32</v>
      </c>
      <c r="I80">
        <v>45.2</v>
      </c>
      <c r="J80">
        <v>1</v>
      </c>
      <c r="K80" t="str">
        <f t="shared" si="7"/>
        <v>Quick sale</v>
      </c>
      <c r="L80" t="str">
        <f t="shared" si="8"/>
        <v>Far</v>
      </c>
      <c r="M80">
        <v>1173</v>
      </c>
      <c r="N80">
        <f t="shared" si="9"/>
        <v>475065</v>
      </c>
    </row>
    <row r="81" spans="1:14" x14ac:dyDescent="0.25">
      <c r="A81" t="s">
        <v>135</v>
      </c>
      <c r="B81">
        <v>459</v>
      </c>
      <c r="C81">
        <v>67</v>
      </c>
      <c r="D81" s="2">
        <f t="shared" si="5"/>
        <v>0.14596949891067537</v>
      </c>
      <c r="E81" s="2" t="str">
        <f t="shared" si="6"/>
        <v>Medium loss</v>
      </c>
      <c r="F81">
        <v>391</v>
      </c>
      <c r="G81" t="s">
        <v>41</v>
      </c>
      <c r="H81" t="s">
        <v>14</v>
      </c>
      <c r="I81">
        <v>12.8</v>
      </c>
      <c r="J81">
        <v>1</v>
      </c>
      <c r="K81" t="str">
        <f t="shared" si="7"/>
        <v>Quick sale</v>
      </c>
      <c r="L81" t="str">
        <f t="shared" si="8"/>
        <v>Medium distance</v>
      </c>
      <c r="M81">
        <v>1289</v>
      </c>
      <c r="N81">
        <f t="shared" si="9"/>
        <v>503999</v>
      </c>
    </row>
    <row r="82" spans="1:14" x14ac:dyDescent="0.25">
      <c r="A82" t="s">
        <v>137</v>
      </c>
      <c r="B82">
        <v>542</v>
      </c>
      <c r="C82">
        <v>91</v>
      </c>
      <c r="D82" s="2">
        <f t="shared" si="5"/>
        <v>0.16789667896678967</v>
      </c>
      <c r="E82" s="2" t="str">
        <f t="shared" si="6"/>
        <v>Medium loss</v>
      </c>
      <c r="F82">
        <v>420</v>
      </c>
      <c r="G82" t="s">
        <v>41</v>
      </c>
      <c r="H82" t="s">
        <v>32</v>
      </c>
      <c r="I82">
        <v>31.2</v>
      </c>
      <c r="J82">
        <v>1</v>
      </c>
      <c r="K82" t="str">
        <f t="shared" si="7"/>
        <v>Quick sale</v>
      </c>
      <c r="L82" t="str">
        <f t="shared" si="8"/>
        <v>Far</v>
      </c>
      <c r="M82">
        <v>796</v>
      </c>
      <c r="N82">
        <f t="shared" si="9"/>
        <v>334320</v>
      </c>
    </row>
    <row r="83" spans="1:14" x14ac:dyDescent="0.25">
      <c r="A83" t="s">
        <v>138</v>
      </c>
      <c r="B83">
        <v>209</v>
      </c>
      <c r="C83">
        <v>15</v>
      </c>
      <c r="D83" s="2">
        <f t="shared" si="5"/>
        <v>7.1770334928229665E-2</v>
      </c>
      <c r="E83" s="2" t="str">
        <f t="shared" si="6"/>
        <v>Lowest loss</v>
      </c>
      <c r="F83">
        <v>181</v>
      </c>
      <c r="G83" t="s">
        <v>139</v>
      </c>
      <c r="H83" t="s">
        <v>20</v>
      </c>
      <c r="I83">
        <v>9.9</v>
      </c>
      <c r="J83">
        <v>4</v>
      </c>
      <c r="K83" t="str">
        <f t="shared" si="7"/>
        <v>Long delay</v>
      </c>
      <c r="L83" t="str">
        <f t="shared" si="8"/>
        <v>Near</v>
      </c>
      <c r="M83">
        <v>1121</v>
      </c>
      <c r="N83">
        <f t="shared" si="9"/>
        <v>202901</v>
      </c>
    </row>
    <row r="84" spans="1:14" x14ac:dyDescent="0.25">
      <c r="A84" t="s">
        <v>140</v>
      </c>
      <c r="B84">
        <v>281</v>
      </c>
      <c r="C84">
        <v>52</v>
      </c>
      <c r="D84" s="2">
        <f t="shared" si="5"/>
        <v>0.18505338078291814</v>
      </c>
      <c r="E84" s="2" t="str">
        <f t="shared" si="6"/>
        <v>Medium loss</v>
      </c>
      <c r="F84">
        <v>209</v>
      </c>
      <c r="G84" t="s">
        <v>64</v>
      </c>
      <c r="H84" t="s">
        <v>29</v>
      </c>
      <c r="I84">
        <v>19.3</v>
      </c>
      <c r="J84">
        <v>4</v>
      </c>
      <c r="K84" t="str">
        <f t="shared" si="7"/>
        <v>Long delay</v>
      </c>
      <c r="L84" t="str">
        <f t="shared" si="8"/>
        <v>Medium distance</v>
      </c>
      <c r="M84">
        <v>655</v>
      </c>
      <c r="N84">
        <f t="shared" si="9"/>
        <v>136895</v>
      </c>
    </row>
    <row r="85" spans="1:14" x14ac:dyDescent="0.25">
      <c r="A85" t="s">
        <v>142</v>
      </c>
      <c r="B85">
        <v>487</v>
      </c>
      <c r="C85">
        <v>49</v>
      </c>
      <c r="D85" s="2">
        <f t="shared" si="5"/>
        <v>0.10061601642710473</v>
      </c>
      <c r="E85" s="2" t="str">
        <f t="shared" si="6"/>
        <v>Medium loss</v>
      </c>
      <c r="F85">
        <v>434</v>
      </c>
      <c r="G85" t="s">
        <v>64</v>
      </c>
      <c r="H85" t="s">
        <v>20</v>
      </c>
      <c r="I85">
        <v>8.8000000000000007</v>
      </c>
      <c r="J85">
        <v>3</v>
      </c>
      <c r="K85" t="str">
        <f t="shared" si="7"/>
        <v>Moderate delay</v>
      </c>
      <c r="L85" t="str">
        <f t="shared" si="8"/>
        <v>Near</v>
      </c>
      <c r="M85">
        <v>1280</v>
      </c>
      <c r="N85">
        <f t="shared" si="9"/>
        <v>555520</v>
      </c>
    </row>
    <row r="86" spans="1:14" x14ac:dyDescent="0.25">
      <c r="A86" t="s">
        <v>143</v>
      </c>
      <c r="B86">
        <v>467</v>
      </c>
      <c r="C86">
        <v>83</v>
      </c>
      <c r="D86" s="2">
        <f t="shared" si="5"/>
        <v>0.17773019271948609</v>
      </c>
      <c r="E86" s="2" t="str">
        <f t="shared" si="6"/>
        <v>Medium loss</v>
      </c>
      <c r="F86">
        <v>355</v>
      </c>
      <c r="G86" t="s">
        <v>64</v>
      </c>
      <c r="H86" t="s">
        <v>20</v>
      </c>
      <c r="I86">
        <v>24.8</v>
      </c>
      <c r="J86">
        <v>5</v>
      </c>
      <c r="K86" t="str">
        <f t="shared" si="7"/>
        <v>Long delay</v>
      </c>
      <c r="L86" t="str">
        <f t="shared" si="8"/>
        <v>Medium distance</v>
      </c>
      <c r="M86">
        <v>1192</v>
      </c>
      <c r="N86">
        <f t="shared" si="9"/>
        <v>423160</v>
      </c>
    </row>
    <row r="87" spans="1:14" x14ac:dyDescent="0.25">
      <c r="A87" t="s">
        <v>144</v>
      </c>
      <c r="B87">
        <v>865</v>
      </c>
      <c r="C87">
        <v>119</v>
      </c>
      <c r="D87" s="2">
        <f t="shared" si="5"/>
        <v>0.1375722543352601</v>
      </c>
      <c r="E87" s="2" t="str">
        <f t="shared" si="6"/>
        <v>Medium loss</v>
      </c>
      <c r="F87">
        <v>718</v>
      </c>
      <c r="G87" t="s">
        <v>64</v>
      </c>
      <c r="H87" t="s">
        <v>11</v>
      </c>
      <c r="I87">
        <v>14</v>
      </c>
      <c r="J87">
        <v>1</v>
      </c>
      <c r="K87" t="str">
        <f t="shared" si="7"/>
        <v>Quick sale</v>
      </c>
      <c r="L87" t="str">
        <f t="shared" si="8"/>
        <v>Medium distance</v>
      </c>
      <c r="M87">
        <v>1129</v>
      </c>
      <c r="N87">
        <f t="shared" si="9"/>
        <v>810622</v>
      </c>
    </row>
    <row r="88" spans="1:14" x14ac:dyDescent="0.25">
      <c r="A88" t="s">
        <v>145</v>
      </c>
      <c r="B88">
        <v>495</v>
      </c>
      <c r="C88">
        <v>79</v>
      </c>
      <c r="D88" s="2">
        <f t="shared" si="5"/>
        <v>0.1595959595959596</v>
      </c>
      <c r="E88" s="2" t="str">
        <f t="shared" si="6"/>
        <v>Medium loss</v>
      </c>
      <c r="F88">
        <v>384</v>
      </c>
      <c r="G88" t="s">
        <v>41</v>
      </c>
      <c r="H88" t="s">
        <v>11</v>
      </c>
      <c r="I88">
        <v>10.5</v>
      </c>
      <c r="J88">
        <v>2</v>
      </c>
      <c r="K88" t="str">
        <f t="shared" si="7"/>
        <v>Moderate delay</v>
      </c>
      <c r="L88" t="str">
        <f t="shared" si="8"/>
        <v>Medium distance</v>
      </c>
      <c r="M88">
        <v>1044</v>
      </c>
      <c r="N88">
        <f t="shared" si="9"/>
        <v>400896</v>
      </c>
    </row>
    <row r="89" spans="1:14" x14ac:dyDescent="0.25">
      <c r="A89" t="s">
        <v>146</v>
      </c>
      <c r="B89">
        <v>839</v>
      </c>
      <c r="C89">
        <v>72</v>
      </c>
      <c r="D89" s="2">
        <f t="shared" si="5"/>
        <v>8.5816448152562577E-2</v>
      </c>
      <c r="E89" s="2" t="str">
        <f t="shared" si="6"/>
        <v>Lowest loss</v>
      </c>
      <c r="F89">
        <v>690</v>
      </c>
      <c r="G89" t="s">
        <v>41</v>
      </c>
      <c r="H89" t="s">
        <v>11</v>
      </c>
      <c r="I89">
        <v>10.4</v>
      </c>
      <c r="J89">
        <v>3</v>
      </c>
      <c r="K89" t="str">
        <f t="shared" si="7"/>
        <v>Moderate delay</v>
      </c>
      <c r="L89" t="str">
        <f t="shared" si="8"/>
        <v>Medium distance</v>
      </c>
      <c r="M89">
        <v>775</v>
      </c>
      <c r="N89">
        <f t="shared" si="9"/>
        <v>534750</v>
      </c>
    </row>
    <row r="90" spans="1:14" x14ac:dyDescent="0.25">
      <c r="A90" t="s">
        <v>148</v>
      </c>
      <c r="B90">
        <v>466</v>
      </c>
      <c r="C90">
        <v>75</v>
      </c>
      <c r="D90" s="2">
        <f t="shared" ref="D90:D121" si="10">(C90/B90)</f>
        <v>0.1609442060085837</v>
      </c>
      <c r="E90" s="2" t="str">
        <f t="shared" si="6"/>
        <v>Medium loss</v>
      </c>
      <c r="F90">
        <v>355</v>
      </c>
      <c r="G90" t="s">
        <v>139</v>
      </c>
      <c r="H90" t="s">
        <v>20</v>
      </c>
      <c r="I90">
        <v>48.3</v>
      </c>
      <c r="J90">
        <v>2</v>
      </c>
      <c r="K90" t="str">
        <f t="shared" si="7"/>
        <v>Moderate delay</v>
      </c>
      <c r="L90" t="str">
        <f t="shared" si="8"/>
        <v>Far</v>
      </c>
      <c r="M90">
        <v>1420</v>
      </c>
      <c r="N90">
        <f t="shared" si="9"/>
        <v>504100</v>
      </c>
    </row>
    <row r="91" spans="1:14" x14ac:dyDescent="0.25">
      <c r="A91" t="s">
        <v>149</v>
      </c>
      <c r="B91">
        <v>671</v>
      </c>
      <c r="C91">
        <v>67</v>
      </c>
      <c r="D91" s="2">
        <f t="shared" si="10"/>
        <v>9.9850968703427717E-2</v>
      </c>
      <c r="E91" s="2" t="str">
        <f t="shared" si="6"/>
        <v>Lowest loss</v>
      </c>
      <c r="F91">
        <v>600</v>
      </c>
      <c r="G91" t="s">
        <v>64</v>
      </c>
      <c r="H91" t="s">
        <v>11</v>
      </c>
      <c r="I91">
        <v>8.9</v>
      </c>
      <c r="J91">
        <v>2</v>
      </c>
      <c r="K91" t="str">
        <f t="shared" si="7"/>
        <v>Moderate delay</v>
      </c>
      <c r="L91" t="str">
        <f t="shared" si="8"/>
        <v>Near</v>
      </c>
      <c r="M91">
        <v>1368</v>
      </c>
      <c r="N91">
        <f t="shared" si="9"/>
        <v>820800</v>
      </c>
    </row>
    <row r="92" spans="1:14" x14ac:dyDescent="0.25">
      <c r="A92" t="s">
        <v>150</v>
      </c>
      <c r="B92">
        <v>552</v>
      </c>
      <c r="C92">
        <v>48</v>
      </c>
      <c r="D92" s="2">
        <f t="shared" si="10"/>
        <v>8.6956521739130432E-2</v>
      </c>
      <c r="E92" s="2" t="str">
        <f t="shared" si="6"/>
        <v>Lowest loss</v>
      </c>
      <c r="F92">
        <v>422</v>
      </c>
      <c r="G92" t="s">
        <v>99</v>
      </c>
      <c r="H92" t="s">
        <v>14</v>
      </c>
      <c r="I92">
        <v>18.899999999999999</v>
      </c>
      <c r="J92">
        <v>3</v>
      </c>
      <c r="K92" t="str">
        <f t="shared" si="7"/>
        <v>Moderate delay</v>
      </c>
      <c r="L92" t="str">
        <f t="shared" si="8"/>
        <v>Medium distance</v>
      </c>
      <c r="M92">
        <v>957</v>
      </c>
      <c r="N92">
        <f t="shared" si="9"/>
        <v>403854</v>
      </c>
    </row>
    <row r="93" spans="1:14" x14ac:dyDescent="0.25">
      <c r="A93" t="s">
        <v>151</v>
      </c>
      <c r="B93">
        <v>850</v>
      </c>
      <c r="C93">
        <v>110</v>
      </c>
      <c r="D93" s="2">
        <f t="shared" si="10"/>
        <v>0.12941176470588237</v>
      </c>
      <c r="E93" s="2" t="str">
        <f t="shared" si="6"/>
        <v>Medium loss</v>
      </c>
      <c r="F93">
        <v>696</v>
      </c>
      <c r="G93" t="s">
        <v>41</v>
      </c>
      <c r="H93" t="s">
        <v>32</v>
      </c>
      <c r="I93">
        <v>12.2</v>
      </c>
      <c r="J93">
        <v>3</v>
      </c>
      <c r="K93" t="str">
        <f t="shared" si="7"/>
        <v>Moderate delay</v>
      </c>
      <c r="L93" t="str">
        <f t="shared" si="8"/>
        <v>Medium distance</v>
      </c>
      <c r="M93">
        <v>1022</v>
      </c>
      <c r="N93">
        <f t="shared" si="9"/>
        <v>711312</v>
      </c>
    </row>
    <row r="94" spans="1:14" x14ac:dyDescent="0.25">
      <c r="A94" t="s">
        <v>152</v>
      </c>
      <c r="B94">
        <v>414</v>
      </c>
      <c r="C94">
        <v>57</v>
      </c>
      <c r="D94" s="2">
        <f t="shared" si="10"/>
        <v>0.13768115942028986</v>
      </c>
      <c r="E94" s="2" t="str">
        <f t="shared" si="6"/>
        <v>Medium loss</v>
      </c>
      <c r="F94">
        <v>352</v>
      </c>
      <c r="G94" t="s">
        <v>153</v>
      </c>
      <c r="H94" t="s">
        <v>11</v>
      </c>
      <c r="I94">
        <v>15.5</v>
      </c>
      <c r="J94">
        <v>3</v>
      </c>
      <c r="K94" t="str">
        <f t="shared" si="7"/>
        <v>Moderate delay</v>
      </c>
      <c r="L94" t="str">
        <f t="shared" si="8"/>
        <v>Medium distance</v>
      </c>
      <c r="M94">
        <v>1251</v>
      </c>
      <c r="N94">
        <f t="shared" si="9"/>
        <v>440352</v>
      </c>
    </row>
    <row r="95" spans="1:14" x14ac:dyDescent="0.25">
      <c r="A95" t="s">
        <v>154</v>
      </c>
      <c r="B95">
        <v>332</v>
      </c>
      <c r="C95">
        <v>62</v>
      </c>
      <c r="D95" s="2">
        <f t="shared" si="10"/>
        <v>0.18674698795180722</v>
      </c>
      <c r="E95" s="2" t="str">
        <f t="shared" si="6"/>
        <v>Medium loss</v>
      </c>
      <c r="F95">
        <v>257</v>
      </c>
      <c r="G95" t="s">
        <v>41</v>
      </c>
      <c r="H95" t="s">
        <v>20</v>
      </c>
      <c r="I95">
        <v>40</v>
      </c>
      <c r="J95">
        <v>2</v>
      </c>
      <c r="K95" t="str">
        <f t="shared" si="7"/>
        <v>Moderate delay</v>
      </c>
      <c r="L95" t="str">
        <f t="shared" si="8"/>
        <v>Far</v>
      </c>
      <c r="M95">
        <v>1302</v>
      </c>
      <c r="N95">
        <f t="shared" si="9"/>
        <v>334614</v>
      </c>
    </row>
    <row r="96" spans="1:14" x14ac:dyDescent="0.25">
      <c r="A96" t="s">
        <v>155</v>
      </c>
      <c r="B96">
        <v>1290</v>
      </c>
      <c r="C96">
        <v>201</v>
      </c>
      <c r="D96" s="2">
        <f t="shared" si="10"/>
        <v>0.1558139534883721</v>
      </c>
      <c r="E96" s="2" t="str">
        <f t="shared" si="6"/>
        <v>Medium loss</v>
      </c>
      <c r="F96">
        <v>1032</v>
      </c>
      <c r="G96" t="s">
        <v>41</v>
      </c>
      <c r="H96" t="s">
        <v>11</v>
      </c>
      <c r="I96">
        <v>14.3</v>
      </c>
      <c r="J96">
        <v>3</v>
      </c>
      <c r="K96" t="str">
        <f t="shared" si="7"/>
        <v>Moderate delay</v>
      </c>
      <c r="L96" t="str">
        <f t="shared" si="8"/>
        <v>Medium distance</v>
      </c>
      <c r="M96">
        <v>1151</v>
      </c>
      <c r="N96">
        <f t="shared" si="9"/>
        <v>1187832</v>
      </c>
    </row>
    <row r="97" spans="1:14" x14ac:dyDescent="0.25">
      <c r="A97" t="s">
        <v>156</v>
      </c>
      <c r="B97">
        <v>729</v>
      </c>
      <c r="C97">
        <v>60</v>
      </c>
      <c r="D97" s="2">
        <f t="shared" si="10"/>
        <v>8.2304526748971193E-2</v>
      </c>
      <c r="E97" s="2" t="str">
        <f t="shared" si="6"/>
        <v>Lowest loss</v>
      </c>
      <c r="F97">
        <v>650</v>
      </c>
      <c r="G97" t="s">
        <v>64</v>
      </c>
      <c r="H97" t="s">
        <v>11</v>
      </c>
      <c r="I97">
        <v>9.5</v>
      </c>
      <c r="J97">
        <v>1</v>
      </c>
      <c r="K97" t="str">
        <f t="shared" si="7"/>
        <v>Quick sale</v>
      </c>
      <c r="L97" t="str">
        <f t="shared" si="8"/>
        <v>Near</v>
      </c>
      <c r="M97">
        <v>999</v>
      </c>
      <c r="N97">
        <f t="shared" si="9"/>
        <v>649350</v>
      </c>
    </row>
    <row r="98" spans="1:14" x14ac:dyDescent="0.25">
      <c r="A98" t="s">
        <v>157</v>
      </c>
      <c r="B98">
        <v>425</v>
      </c>
      <c r="C98">
        <v>82</v>
      </c>
      <c r="D98" s="2">
        <f t="shared" si="10"/>
        <v>0.19294117647058823</v>
      </c>
      <c r="E98" s="2" t="str">
        <f t="shared" si="6"/>
        <v>Medium loss</v>
      </c>
      <c r="F98">
        <v>332</v>
      </c>
      <c r="G98" t="s">
        <v>153</v>
      </c>
      <c r="H98" t="s">
        <v>32</v>
      </c>
      <c r="I98">
        <v>35.200000000000003</v>
      </c>
      <c r="J98">
        <v>3</v>
      </c>
      <c r="K98" t="str">
        <f t="shared" si="7"/>
        <v>Moderate delay</v>
      </c>
      <c r="L98" t="str">
        <f t="shared" si="8"/>
        <v>Far</v>
      </c>
      <c r="M98">
        <v>1191</v>
      </c>
      <c r="N98">
        <f t="shared" si="9"/>
        <v>395412</v>
      </c>
    </row>
    <row r="99" spans="1:14" x14ac:dyDescent="0.25">
      <c r="A99" t="s">
        <v>159</v>
      </c>
      <c r="B99">
        <v>192</v>
      </c>
      <c r="C99">
        <v>20</v>
      </c>
      <c r="D99" s="2">
        <f t="shared" si="10"/>
        <v>0.10416666666666667</v>
      </c>
      <c r="E99" s="2" t="str">
        <f t="shared" si="6"/>
        <v>Medium loss</v>
      </c>
      <c r="F99">
        <v>168</v>
      </c>
      <c r="G99" t="s">
        <v>64</v>
      </c>
      <c r="H99" t="s">
        <v>11</v>
      </c>
      <c r="I99">
        <v>10.5</v>
      </c>
      <c r="J99">
        <v>2</v>
      </c>
      <c r="K99" t="str">
        <f t="shared" si="7"/>
        <v>Moderate delay</v>
      </c>
      <c r="L99" t="str">
        <f t="shared" si="8"/>
        <v>Medium distance</v>
      </c>
      <c r="M99">
        <v>1558</v>
      </c>
      <c r="N99">
        <f t="shared" si="9"/>
        <v>261744</v>
      </c>
    </row>
    <row r="100" spans="1:14" x14ac:dyDescent="0.25">
      <c r="A100" t="s">
        <v>160</v>
      </c>
      <c r="B100">
        <v>832</v>
      </c>
      <c r="C100">
        <v>96</v>
      </c>
      <c r="D100" s="2">
        <f t="shared" si="10"/>
        <v>0.11538461538461539</v>
      </c>
      <c r="E100" s="2" t="str">
        <f t="shared" si="6"/>
        <v>Medium loss</v>
      </c>
      <c r="F100">
        <v>706</v>
      </c>
      <c r="G100" t="s">
        <v>41</v>
      </c>
      <c r="H100" t="s">
        <v>11</v>
      </c>
      <c r="I100">
        <v>10</v>
      </c>
      <c r="J100">
        <v>1</v>
      </c>
      <c r="K100" t="str">
        <f t="shared" si="7"/>
        <v>Quick sale</v>
      </c>
      <c r="L100" t="str">
        <f t="shared" si="8"/>
        <v>Near</v>
      </c>
      <c r="M100">
        <v>615</v>
      </c>
      <c r="N100">
        <f t="shared" si="9"/>
        <v>434190</v>
      </c>
    </row>
    <row r="101" spans="1:14" x14ac:dyDescent="0.25">
      <c r="A101" t="s">
        <v>161</v>
      </c>
      <c r="B101">
        <v>1835</v>
      </c>
      <c r="C101">
        <v>411</v>
      </c>
      <c r="D101" s="2">
        <f t="shared" si="10"/>
        <v>0.22397820163487739</v>
      </c>
      <c r="E101" s="2" t="str">
        <f t="shared" si="6"/>
        <v>Highest loss</v>
      </c>
      <c r="F101">
        <v>1388</v>
      </c>
      <c r="G101" t="s">
        <v>41</v>
      </c>
      <c r="H101" t="s">
        <v>29</v>
      </c>
      <c r="I101">
        <v>46.3</v>
      </c>
      <c r="J101">
        <v>4</v>
      </c>
      <c r="K101" t="str">
        <f t="shared" si="7"/>
        <v>Long delay</v>
      </c>
      <c r="L101" t="str">
        <f t="shared" si="8"/>
        <v>Far</v>
      </c>
      <c r="M101">
        <v>899</v>
      </c>
      <c r="N101">
        <f t="shared" si="9"/>
        <v>1247812</v>
      </c>
    </row>
    <row r="102" spans="1:14" x14ac:dyDescent="0.25">
      <c r="A102" t="s">
        <v>162</v>
      </c>
      <c r="B102">
        <v>1271</v>
      </c>
      <c r="C102">
        <v>127</v>
      </c>
      <c r="D102" s="2">
        <f t="shared" si="10"/>
        <v>9.9921321793863094E-2</v>
      </c>
      <c r="E102" s="2" t="str">
        <f t="shared" si="6"/>
        <v>Lowest loss</v>
      </c>
      <c r="F102">
        <v>1068</v>
      </c>
      <c r="G102" t="s">
        <v>41</v>
      </c>
      <c r="H102" t="s">
        <v>11</v>
      </c>
      <c r="I102">
        <v>21</v>
      </c>
      <c r="J102">
        <v>1</v>
      </c>
      <c r="K102" t="str">
        <f t="shared" si="7"/>
        <v>Quick sale</v>
      </c>
      <c r="L102" t="str">
        <f t="shared" si="8"/>
        <v>Medium distance</v>
      </c>
      <c r="M102">
        <v>794</v>
      </c>
      <c r="N102">
        <f t="shared" si="9"/>
        <v>847992</v>
      </c>
    </row>
    <row r="103" spans="1:14" x14ac:dyDescent="0.25">
      <c r="A103" t="s">
        <v>163</v>
      </c>
      <c r="B103">
        <v>654</v>
      </c>
      <c r="C103">
        <v>99</v>
      </c>
      <c r="D103" s="2">
        <f t="shared" si="10"/>
        <v>0.15137614678899083</v>
      </c>
      <c r="E103" s="2" t="str">
        <f t="shared" si="6"/>
        <v>Medium loss</v>
      </c>
      <c r="F103">
        <v>546</v>
      </c>
      <c r="G103" t="s">
        <v>41</v>
      </c>
      <c r="H103" t="s">
        <v>20</v>
      </c>
      <c r="I103">
        <v>3.7</v>
      </c>
      <c r="J103">
        <v>3</v>
      </c>
      <c r="K103" t="str">
        <f t="shared" si="7"/>
        <v>Moderate delay</v>
      </c>
      <c r="L103" t="str">
        <f t="shared" si="8"/>
        <v>Near</v>
      </c>
      <c r="M103">
        <v>1284</v>
      </c>
      <c r="N103">
        <f t="shared" si="9"/>
        <v>701064</v>
      </c>
    </row>
    <row r="104" spans="1:14" x14ac:dyDescent="0.25">
      <c r="A104" t="s">
        <v>164</v>
      </c>
      <c r="B104">
        <v>265</v>
      </c>
      <c r="C104">
        <v>47</v>
      </c>
      <c r="D104" s="2">
        <f t="shared" si="10"/>
        <v>0.17735849056603772</v>
      </c>
      <c r="E104" s="2" t="str">
        <f t="shared" si="6"/>
        <v>Medium loss</v>
      </c>
      <c r="F104">
        <v>217</v>
      </c>
      <c r="G104" t="s">
        <v>41</v>
      </c>
      <c r="H104" t="s">
        <v>32</v>
      </c>
      <c r="I104">
        <v>28</v>
      </c>
      <c r="J104">
        <v>2</v>
      </c>
      <c r="K104" t="str">
        <f t="shared" si="7"/>
        <v>Moderate delay</v>
      </c>
      <c r="L104" t="str">
        <f t="shared" si="8"/>
        <v>Medium distance</v>
      </c>
      <c r="M104">
        <v>1521</v>
      </c>
      <c r="N104">
        <f t="shared" si="9"/>
        <v>330057</v>
      </c>
    </row>
    <row r="105" spans="1:14" x14ac:dyDescent="0.25">
      <c r="A105" t="s">
        <v>165</v>
      </c>
      <c r="B105">
        <v>539</v>
      </c>
      <c r="C105">
        <v>52</v>
      </c>
      <c r="D105" s="2">
        <f t="shared" si="10"/>
        <v>9.6474953617810763E-2</v>
      </c>
      <c r="E105" s="2" t="str">
        <f t="shared" si="6"/>
        <v>Lowest loss</v>
      </c>
      <c r="F105">
        <v>466</v>
      </c>
      <c r="G105" t="s">
        <v>99</v>
      </c>
      <c r="H105" t="s">
        <v>11</v>
      </c>
      <c r="I105">
        <v>15.5</v>
      </c>
      <c r="J105">
        <v>2</v>
      </c>
      <c r="K105" t="str">
        <f t="shared" si="7"/>
        <v>Moderate delay</v>
      </c>
      <c r="L105" t="str">
        <f t="shared" si="8"/>
        <v>Medium distance</v>
      </c>
      <c r="M105">
        <v>1031</v>
      </c>
      <c r="N105">
        <f t="shared" si="9"/>
        <v>480446</v>
      </c>
    </row>
    <row r="106" spans="1:14" x14ac:dyDescent="0.25">
      <c r="A106" t="s">
        <v>166</v>
      </c>
      <c r="B106">
        <v>357</v>
      </c>
      <c r="C106">
        <v>36</v>
      </c>
      <c r="D106" s="2">
        <f t="shared" si="10"/>
        <v>0.10084033613445378</v>
      </c>
      <c r="E106" s="2" t="str">
        <f t="shared" si="6"/>
        <v>Medium loss</v>
      </c>
      <c r="F106">
        <v>300</v>
      </c>
      <c r="G106" t="s">
        <v>41</v>
      </c>
      <c r="H106" t="s">
        <v>20</v>
      </c>
      <c r="I106">
        <v>6.5</v>
      </c>
      <c r="J106">
        <v>1</v>
      </c>
      <c r="K106" t="str">
        <f t="shared" si="7"/>
        <v>Quick sale</v>
      </c>
      <c r="L106" t="str">
        <f t="shared" si="8"/>
        <v>Near</v>
      </c>
      <c r="M106">
        <v>1344</v>
      </c>
      <c r="N106">
        <f t="shared" si="9"/>
        <v>403200</v>
      </c>
    </row>
    <row r="107" spans="1:14" x14ac:dyDescent="0.25">
      <c r="A107" t="s">
        <v>168</v>
      </c>
      <c r="B107">
        <v>1311</v>
      </c>
      <c r="C107">
        <v>285</v>
      </c>
      <c r="D107" s="2">
        <f t="shared" si="10"/>
        <v>0.21739130434782608</v>
      </c>
      <c r="E107" s="2" t="str">
        <f t="shared" si="6"/>
        <v>Highest loss</v>
      </c>
      <c r="F107">
        <v>1023</v>
      </c>
      <c r="G107" t="s">
        <v>64</v>
      </c>
      <c r="H107" t="s">
        <v>32</v>
      </c>
      <c r="I107">
        <v>31.9</v>
      </c>
      <c r="J107">
        <v>8</v>
      </c>
      <c r="K107" t="str">
        <f t="shared" si="7"/>
        <v>Long delay</v>
      </c>
      <c r="L107" t="str">
        <f t="shared" si="8"/>
        <v>Far</v>
      </c>
      <c r="M107">
        <v>1663</v>
      </c>
      <c r="N107">
        <f t="shared" si="9"/>
        <v>1701249</v>
      </c>
    </row>
    <row r="108" spans="1:14" x14ac:dyDescent="0.25">
      <c r="A108" t="s">
        <v>171</v>
      </c>
      <c r="B108">
        <v>569</v>
      </c>
      <c r="C108">
        <v>115</v>
      </c>
      <c r="D108" s="2">
        <f t="shared" si="10"/>
        <v>0.20210896309314588</v>
      </c>
      <c r="E108" s="2" t="str">
        <f t="shared" si="6"/>
        <v>Highest loss</v>
      </c>
      <c r="F108">
        <v>418</v>
      </c>
      <c r="G108" t="s">
        <v>64</v>
      </c>
      <c r="H108" t="s">
        <v>32</v>
      </c>
      <c r="I108">
        <v>23</v>
      </c>
      <c r="J108">
        <v>6</v>
      </c>
      <c r="K108" t="str">
        <f t="shared" si="7"/>
        <v>Long delay</v>
      </c>
      <c r="L108" t="str">
        <f t="shared" si="8"/>
        <v>Medium distance</v>
      </c>
      <c r="M108">
        <v>1121</v>
      </c>
      <c r="N108">
        <f t="shared" si="9"/>
        <v>468578</v>
      </c>
    </row>
    <row r="109" spans="1:14" x14ac:dyDescent="0.25">
      <c r="A109" t="s">
        <v>172</v>
      </c>
      <c r="B109">
        <v>253</v>
      </c>
      <c r="C109">
        <v>29</v>
      </c>
      <c r="D109" s="2">
        <f t="shared" si="10"/>
        <v>0.11462450592885376</v>
      </c>
      <c r="E109" s="2" t="str">
        <f t="shared" si="6"/>
        <v>Medium loss</v>
      </c>
      <c r="F109">
        <v>220</v>
      </c>
      <c r="G109" t="s">
        <v>64</v>
      </c>
      <c r="H109" t="s">
        <v>20</v>
      </c>
      <c r="I109">
        <v>19.7</v>
      </c>
      <c r="J109">
        <v>3</v>
      </c>
      <c r="K109" t="str">
        <f t="shared" si="7"/>
        <v>Moderate delay</v>
      </c>
      <c r="L109" t="str">
        <f t="shared" si="8"/>
        <v>Medium distance</v>
      </c>
      <c r="M109">
        <v>1348</v>
      </c>
      <c r="N109">
        <f t="shared" si="9"/>
        <v>296560</v>
      </c>
    </row>
    <row r="110" spans="1:14" x14ac:dyDescent="0.25">
      <c r="A110" t="s">
        <v>173</v>
      </c>
      <c r="B110">
        <v>785</v>
      </c>
      <c r="C110">
        <v>147</v>
      </c>
      <c r="D110" s="2">
        <f t="shared" si="10"/>
        <v>0.18726114649681527</v>
      </c>
      <c r="E110" s="2" t="str">
        <f t="shared" si="6"/>
        <v>Medium loss</v>
      </c>
      <c r="F110">
        <v>577</v>
      </c>
      <c r="G110" t="s">
        <v>64</v>
      </c>
      <c r="H110" t="s">
        <v>20</v>
      </c>
      <c r="I110">
        <v>7.1</v>
      </c>
      <c r="J110">
        <v>7</v>
      </c>
      <c r="K110" t="str">
        <f t="shared" si="7"/>
        <v>Long delay</v>
      </c>
      <c r="L110" t="str">
        <f t="shared" si="8"/>
        <v>Near</v>
      </c>
      <c r="M110">
        <v>966</v>
      </c>
      <c r="N110">
        <f t="shared" si="9"/>
        <v>557382</v>
      </c>
    </row>
    <row r="111" spans="1:14" x14ac:dyDescent="0.25">
      <c r="A111" t="s">
        <v>174</v>
      </c>
      <c r="B111">
        <v>285</v>
      </c>
      <c r="C111">
        <v>36</v>
      </c>
      <c r="D111" s="2">
        <f t="shared" si="10"/>
        <v>0.12631578947368421</v>
      </c>
      <c r="E111" s="2" t="str">
        <f t="shared" si="6"/>
        <v>Medium loss</v>
      </c>
      <c r="F111">
        <v>248</v>
      </c>
      <c r="G111" t="s">
        <v>139</v>
      </c>
      <c r="H111" t="s">
        <v>14</v>
      </c>
      <c r="I111">
        <v>15.8</v>
      </c>
      <c r="J111">
        <v>3</v>
      </c>
      <c r="K111" t="str">
        <f t="shared" si="7"/>
        <v>Moderate delay</v>
      </c>
      <c r="L111" t="str">
        <f t="shared" si="8"/>
        <v>Medium distance</v>
      </c>
      <c r="M111">
        <v>1165</v>
      </c>
      <c r="N111">
        <f t="shared" si="9"/>
        <v>288920</v>
      </c>
    </row>
    <row r="112" spans="1:14" x14ac:dyDescent="0.25">
      <c r="A112" t="s">
        <v>176</v>
      </c>
      <c r="B112">
        <v>970</v>
      </c>
      <c r="C112">
        <v>70</v>
      </c>
      <c r="D112" s="2">
        <f t="shared" si="10"/>
        <v>7.2164948453608241E-2</v>
      </c>
      <c r="E112" s="2" t="str">
        <f t="shared" si="6"/>
        <v>Lowest loss</v>
      </c>
      <c r="F112">
        <v>422</v>
      </c>
      <c r="G112" t="s">
        <v>99</v>
      </c>
      <c r="H112" t="s">
        <v>20</v>
      </c>
      <c r="I112">
        <v>18.600000000000001</v>
      </c>
      <c r="J112">
        <v>2</v>
      </c>
      <c r="K112" t="str">
        <f t="shared" si="7"/>
        <v>Moderate delay</v>
      </c>
      <c r="L112" t="str">
        <f t="shared" si="8"/>
        <v>Medium distance</v>
      </c>
      <c r="M112">
        <v>1021</v>
      </c>
      <c r="N112">
        <f t="shared" si="9"/>
        <v>430862</v>
      </c>
    </row>
    <row r="113" spans="1:14" x14ac:dyDescent="0.25">
      <c r="A113" t="s">
        <v>178</v>
      </c>
      <c r="B113">
        <v>319</v>
      </c>
      <c r="C113">
        <v>19</v>
      </c>
      <c r="D113" s="2">
        <f t="shared" si="10"/>
        <v>5.9561128526645767E-2</v>
      </c>
      <c r="E113" s="2" t="str">
        <f t="shared" si="6"/>
        <v>Lowest loss</v>
      </c>
      <c r="F113">
        <v>296</v>
      </c>
      <c r="G113" t="s">
        <v>139</v>
      </c>
      <c r="H113" t="s">
        <v>20</v>
      </c>
      <c r="I113">
        <v>2.7</v>
      </c>
      <c r="J113">
        <v>2</v>
      </c>
      <c r="K113" t="str">
        <f t="shared" si="7"/>
        <v>Moderate delay</v>
      </c>
      <c r="L113" t="str">
        <f t="shared" si="8"/>
        <v>Near</v>
      </c>
      <c r="M113">
        <v>801</v>
      </c>
      <c r="N113">
        <f t="shared" si="9"/>
        <v>237096</v>
      </c>
    </row>
    <row r="114" spans="1:14" x14ac:dyDescent="0.25">
      <c r="A114" t="s">
        <v>179</v>
      </c>
      <c r="B114">
        <v>657</v>
      </c>
      <c r="C114">
        <v>89</v>
      </c>
      <c r="D114" s="2">
        <f t="shared" si="10"/>
        <v>0.13546423135464231</v>
      </c>
      <c r="E114" s="2" t="str">
        <f t="shared" si="6"/>
        <v>Medium loss</v>
      </c>
      <c r="F114">
        <v>535</v>
      </c>
      <c r="G114" t="s">
        <v>139</v>
      </c>
      <c r="H114" t="s">
        <v>11</v>
      </c>
      <c r="I114">
        <v>9.5</v>
      </c>
      <c r="J114">
        <v>5</v>
      </c>
      <c r="K114" t="str">
        <f t="shared" si="7"/>
        <v>Long delay</v>
      </c>
      <c r="L114" t="str">
        <f t="shared" si="8"/>
        <v>Near</v>
      </c>
      <c r="M114">
        <v>1299</v>
      </c>
      <c r="N114">
        <f t="shared" si="9"/>
        <v>694965</v>
      </c>
    </row>
    <row r="115" spans="1:14" x14ac:dyDescent="0.25">
      <c r="A115" t="s">
        <v>180</v>
      </c>
      <c r="B115">
        <v>649</v>
      </c>
      <c r="C115">
        <v>68</v>
      </c>
      <c r="D115" s="2">
        <f t="shared" si="10"/>
        <v>0.10477657935285054</v>
      </c>
      <c r="E115" s="2" t="str">
        <f t="shared" si="6"/>
        <v>Medium loss</v>
      </c>
      <c r="F115">
        <v>577</v>
      </c>
      <c r="G115" t="s">
        <v>139</v>
      </c>
      <c r="H115" t="s">
        <v>20</v>
      </c>
      <c r="I115">
        <v>7.4</v>
      </c>
      <c r="J115">
        <v>3</v>
      </c>
      <c r="K115" t="str">
        <f t="shared" si="7"/>
        <v>Moderate delay</v>
      </c>
      <c r="L115" t="str">
        <f t="shared" si="8"/>
        <v>Near</v>
      </c>
      <c r="M115">
        <v>1244</v>
      </c>
      <c r="N115">
        <f t="shared" si="9"/>
        <v>717788</v>
      </c>
    </row>
    <row r="116" spans="1:14" x14ac:dyDescent="0.25">
      <c r="A116" t="s">
        <v>181</v>
      </c>
      <c r="B116">
        <v>427</v>
      </c>
      <c r="C116">
        <v>64</v>
      </c>
      <c r="D116" s="2">
        <f t="shared" si="10"/>
        <v>0.14988290398126464</v>
      </c>
      <c r="E116" s="2" t="str">
        <f t="shared" si="6"/>
        <v>Medium loss</v>
      </c>
      <c r="F116">
        <v>336</v>
      </c>
      <c r="G116" t="s">
        <v>41</v>
      </c>
      <c r="H116" t="s">
        <v>20</v>
      </c>
      <c r="I116">
        <v>17.399999999999999</v>
      </c>
      <c r="J116">
        <v>2</v>
      </c>
      <c r="K116" t="str">
        <f t="shared" si="7"/>
        <v>Moderate delay</v>
      </c>
      <c r="L116" t="str">
        <f t="shared" si="8"/>
        <v>Medium distance</v>
      </c>
      <c r="M116">
        <v>1177</v>
      </c>
      <c r="N116">
        <f t="shared" si="9"/>
        <v>395472</v>
      </c>
    </row>
    <row r="117" spans="1:14" x14ac:dyDescent="0.25">
      <c r="A117" t="s">
        <v>183</v>
      </c>
      <c r="B117">
        <v>279</v>
      </c>
      <c r="C117">
        <v>50</v>
      </c>
      <c r="D117" s="2">
        <f t="shared" si="10"/>
        <v>0.17921146953405018</v>
      </c>
      <c r="E117" s="2" t="str">
        <f t="shared" si="6"/>
        <v>Medium loss</v>
      </c>
      <c r="F117">
        <v>207</v>
      </c>
      <c r="G117" t="s">
        <v>64</v>
      </c>
      <c r="H117" t="s">
        <v>32</v>
      </c>
      <c r="I117">
        <v>30.4</v>
      </c>
      <c r="J117">
        <v>2</v>
      </c>
      <c r="K117" t="str">
        <f t="shared" si="7"/>
        <v>Moderate delay</v>
      </c>
      <c r="L117" t="str">
        <f t="shared" si="8"/>
        <v>Far</v>
      </c>
      <c r="M117">
        <v>974</v>
      </c>
      <c r="N117">
        <f t="shared" si="9"/>
        <v>201618</v>
      </c>
    </row>
    <row r="118" spans="1:14" x14ac:dyDescent="0.25">
      <c r="A118" t="s">
        <v>184</v>
      </c>
      <c r="B118">
        <v>497</v>
      </c>
      <c r="C118">
        <v>116</v>
      </c>
      <c r="D118" s="2">
        <f t="shared" si="10"/>
        <v>0.23340040241448692</v>
      </c>
      <c r="E118" s="2" t="str">
        <f t="shared" si="6"/>
        <v>Highest loss</v>
      </c>
      <c r="F118">
        <v>373</v>
      </c>
      <c r="G118" t="s">
        <v>41</v>
      </c>
      <c r="H118" t="s">
        <v>32</v>
      </c>
      <c r="I118">
        <v>42</v>
      </c>
      <c r="J118">
        <v>1</v>
      </c>
      <c r="K118" t="str">
        <f t="shared" si="7"/>
        <v>Quick sale</v>
      </c>
      <c r="L118" t="str">
        <f t="shared" si="8"/>
        <v>Far</v>
      </c>
      <c r="M118">
        <v>1236</v>
      </c>
      <c r="N118">
        <f t="shared" si="9"/>
        <v>461028</v>
      </c>
    </row>
    <row r="119" spans="1:14" x14ac:dyDescent="0.25">
      <c r="A119" t="s">
        <v>186</v>
      </c>
      <c r="B119">
        <v>266</v>
      </c>
      <c r="C119">
        <v>14</v>
      </c>
      <c r="D119" s="2">
        <f t="shared" si="10"/>
        <v>5.2631578947368418E-2</v>
      </c>
      <c r="E119" s="2" t="str">
        <f t="shared" si="6"/>
        <v>Lowest loss</v>
      </c>
      <c r="F119">
        <v>234</v>
      </c>
      <c r="G119" t="s">
        <v>64</v>
      </c>
      <c r="H119" t="s">
        <v>20</v>
      </c>
      <c r="I119">
        <v>3.8</v>
      </c>
      <c r="J119">
        <v>2</v>
      </c>
      <c r="K119" t="str">
        <f t="shared" si="7"/>
        <v>Moderate delay</v>
      </c>
      <c r="L119" t="str">
        <f t="shared" si="8"/>
        <v>Near</v>
      </c>
      <c r="M119">
        <v>1043</v>
      </c>
      <c r="N119">
        <f t="shared" si="9"/>
        <v>244062</v>
      </c>
    </row>
    <row r="120" spans="1:14" x14ac:dyDescent="0.25">
      <c r="A120" t="s">
        <v>188</v>
      </c>
      <c r="B120">
        <v>184</v>
      </c>
      <c r="C120">
        <v>33</v>
      </c>
      <c r="D120" s="2">
        <f t="shared" si="10"/>
        <v>0.17934782608695651</v>
      </c>
      <c r="E120" s="2" t="str">
        <f t="shared" si="6"/>
        <v>Medium loss</v>
      </c>
      <c r="F120">
        <v>144</v>
      </c>
      <c r="G120" t="s">
        <v>64</v>
      </c>
      <c r="H120" t="s">
        <v>29</v>
      </c>
      <c r="I120">
        <v>24.7</v>
      </c>
      <c r="J120">
        <v>6</v>
      </c>
      <c r="K120" t="str">
        <f t="shared" si="7"/>
        <v>Long delay</v>
      </c>
      <c r="L120" t="str">
        <f t="shared" si="8"/>
        <v>Medium distance</v>
      </c>
      <c r="M120">
        <v>1450</v>
      </c>
      <c r="N120">
        <f t="shared" si="9"/>
        <v>208800</v>
      </c>
    </row>
    <row r="121" spans="1:14" x14ac:dyDescent="0.25">
      <c r="A121" t="s">
        <v>189</v>
      </c>
      <c r="B121">
        <v>941</v>
      </c>
      <c r="C121">
        <v>102</v>
      </c>
      <c r="D121" s="2">
        <f t="shared" si="10"/>
        <v>0.10839532412327312</v>
      </c>
      <c r="E121" s="2" t="str">
        <f t="shared" si="6"/>
        <v>Medium loss</v>
      </c>
      <c r="F121">
        <v>787</v>
      </c>
      <c r="G121" t="s">
        <v>64</v>
      </c>
      <c r="H121" t="s">
        <v>32</v>
      </c>
      <c r="I121">
        <v>8.9</v>
      </c>
      <c r="J121">
        <v>2</v>
      </c>
      <c r="K121" t="str">
        <f t="shared" si="7"/>
        <v>Moderate delay</v>
      </c>
      <c r="L121" t="str">
        <f t="shared" si="8"/>
        <v>Near</v>
      </c>
      <c r="M121">
        <v>1047</v>
      </c>
      <c r="N121">
        <f t="shared" si="9"/>
        <v>823989</v>
      </c>
    </row>
    <row r="122" spans="1:14" x14ac:dyDescent="0.25">
      <c r="A122" t="s">
        <v>190</v>
      </c>
      <c r="B122">
        <v>937</v>
      </c>
      <c r="C122">
        <v>176</v>
      </c>
      <c r="D122" s="2">
        <f t="shared" ref="D122:D151" si="11">(C122/B122)</f>
        <v>0.18783351120597652</v>
      </c>
      <c r="E122" s="2" t="str">
        <f t="shared" si="6"/>
        <v>Medium loss</v>
      </c>
      <c r="F122">
        <v>754</v>
      </c>
      <c r="G122" t="s">
        <v>64</v>
      </c>
      <c r="H122" t="s">
        <v>32</v>
      </c>
      <c r="I122">
        <v>36.9</v>
      </c>
      <c r="J122">
        <v>2</v>
      </c>
      <c r="K122" t="str">
        <f t="shared" si="7"/>
        <v>Moderate delay</v>
      </c>
      <c r="L122" t="str">
        <f t="shared" si="8"/>
        <v>Far</v>
      </c>
      <c r="M122">
        <v>1461</v>
      </c>
      <c r="N122">
        <f t="shared" si="9"/>
        <v>1101594</v>
      </c>
    </row>
    <row r="123" spans="1:14" x14ac:dyDescent="0.25">
      <c r="A123" t="s">
        <v>191</v>
      </c>
      <c r="B123">
        <v>604</v>
      </c>
      <c r="C123">
        <v>98</v>
      </c>
      <c r="D123" s="2">
        <f t="shared" si="11"/>
        <v>0.16225165562913907</v>
      </c>
      <c r="E123" s="2" t="str">
        <f t="shared" si="6"/>
        <v>Medium loss</v>
      </c>
      <c r="F123">
        <v>464</v>
      </c>
      <c r="G123" t="s">
        <v>41</v>
      </c>
      <c r="H123" t="s">
        <v>11</v>
      </c>
      <c r="I123">
        <v>13.8</v>
      </c>
      <c r="J123">
        <v>1</v>
      </c>
      <c r="K123" t="str">
        <f t="shared" si="7"/>
        <v>Quick sale</v>
      </c>
      <c r="L123" t="str">
        <f t="shared" si="8"/>
        <v>Medium distance</v>
      </c>
      <c r="M123">
        <v>982</v>
      </c>
      <c r="N123">
        <f t="shared" si="9"/>
        <v>455648</v>
      </c>
    </row>
    <row r="124" spans="1:14" x14ac:dyDescent="0.25">
      <c r="A124" t="s">
        <v>193</v>
      </c>
      <c r="B124">
        <v>660</v>
      </c>
      <c r="C124">
        <v>52</v>
      </c>
      <c r="D124" s="2">
        <f t="shared" si="11"/>
        <v>7.8787878787878782E-2</v>
      </c>
      <c r="E124" s="2" t="str">
        <f t="shared" si="6"/>
        <v>Lowest loss</v>
      </c>
      <c r="F124">
        <v>601</v>
      </c>
      <c r="G124" t="s">
        <v>99</v>
      </c>
      <c r="H124" t="s">
        <v>20</v>
      </c>
      <c r="I124">
        <v>14.3</v>
      </c>
      <c r="J124">
        <v>0</v>
      </c>
      <c r="K124" t="str">
        <f t="shared" si="7"/>
        <v>Quick sale</v>
      </c>
      <c r="L124" t="str">
        <f t="shared" si="8"/>
        <v>Medium distance</v>
      </c>
      <c r="M124">
        <v>1317</v>
      </c>
      <c r="N124">
        <f t="shared" si="9"/>
        <v>791517</v>
      </c>
    </row>
    <row r="125" spans="1:14" x14ac:dyDescent="0.25">
      <c r="A125" t="s">
        <v>194</v>
      </c>
      <c r="B125">
        <v>580</v>
      </c>
      <c r="C125">
        <v>113</v>
      </c>
      <c r="D125" s="2">
        <f t="shared" si="11"/>
        <v>0.19482758620689655</v>
      </c>
      <c r="E125" s="2" t="str">
        <f t="shared" si="6"/>
        <v>Medium loss</v>
      </c>
      <c r="F125">
        <v>443</v>
      </c>
      <c r="G125" t="s">
        <v>41</v>
      </c>
      <c r="H125" t="s">
        <v>11</v>
      </c>
      <c r="I125">
        <v>21.5</v>
      </c>
      <c r="J125">
        <v>5</v>
      </c>
      <c r="K125" t="str">
        <f t="shared" si="7"/>
        <v>Long delay</v>
      </c>
      <c r="L125" t="str">
        <f t="shared" si="8"/>
        <v>Medium distance</v>
      </c>
      <c r="M125">
        <v>1277</v>
      </c>
      <c r="N125">
        <f t="shared" si="9"/>
        <v>565711</v>
      </c>
    </row>
    <row r="126" spans="1:14" x14ac:dyDescent="0.25">
      <c r="A126" t="s">
        <v>195</v>
      </c>
      <c r="B126">
        <v>664</v>
      </c>
      <c r="C126">
        <v>51</v>
      </c>
      <c r="D126" s="2">
        <f t="shared" si="11"/>
        <v>7.6807228915662648E-2</v>
      </c>
      <c r="E126" s="2" t="str">
        <f t="shared" si="6"/>
        <v>Lowest loss</v>
      </c>
      <c r="F126">
        <v>568</v>
      </c>
      <c r="G126" t="s">
        <v>64</v>
      </c>
      <c r="H126" t="s">
        <v>11</v>
      </c>
      <c r="I126">
        <v>12.6</v>
      </c>
      <c r="J126">
        <v>2</v>
      </c>
      <c r="K126" t="str">
        <f t="shared" si="7"/>
        <v>Moderate delay</v>
      </c>
      <c r="L126" t="str">
        <f t="shared" si="8"/>
        <v>Medium distance</v>
      </c>
      <c r="M126">
        <v>1538</v>
      </c>
      <c r="N126">
        <f t="shared" si="9"/>
        <v>873584</v>
      </c>
    </row>
    <row r="127" spans="1:14" x14ac:dyDescent="0.25">
      <c r="A127" t="s">
        <v>197</v>
      </c>
      <c r="B127">
        <v>411</v>
      </c>
      <c r="C127">
        <v>71</v>
      </c>
      <c r="D127" s="2">
        <f t="shared" si="11"/>
        <v>0.17274939172749393</v>
      </c>
      <c r="E127" s="2" t="str">
        <f t="shared" si="6"/>
        <v>Medium loss</v>
      </c>
      <c r="F127">
        <v>340</v>
      </c>
      <c r="G127" t="s">
        <v>64</v>
      </c>
      <c r="H127" t="s">
        <v>32</v>
      </c>
      <c r="I127">
        <v>28.9</v>
      </c>
      <c r="J127">
        <v>2</v>
      </c>
      <c r="K127" t="str">
        <f t="shared" si="7"/>
        <v>Moderate delay</v>
      </c>
      <c r="L127" t="str">
        <f t="shared" si="8"/>
        <v>Medium distance</v>
      </c>
      <c r="M127">
        <v>1624</v>
      </c>
      <c r="N127">
        <f t="shared" si="9"/>
        <v>552160</v>
      </c>
    </row>
    <row r="128" spans="1:14" x14ac:dyDescent="0.25">
      <c r="A128" t="s">
        <v>198</v>
      </c>
      <c r="B128">
        <v>605</v>
      </c>
      <c r="C128">
        <v>109</v>
      </c>
      <c r="D128" s="2">
        <f t="shared" si="11"/>
        <v>0.18016528925619835</v>
      </c>
      <c r="E128" s="2" t="str">
        <f t="shared" si="6"/>
        <v>Medium loss</v>
      </c>
      <c r="F128">
        <v>493</v>
      </c>
      <c r="G128" t="s">
        <v>139</v>
      </c>
      <c r="H128" t="s">
        <v>20</v>
      </c>
      <c r="I128">
        <v>41.8</v>
      </c>
      <c r="J128">
        <v>6</v>
      </c>
      <c r="K128" t="str">
        <f t="shared" si="7"/>
        <v>Long delay</v>
      </c>
      <c r="L128" t="str">
        <f t="shared" si="8"/>
        <v>Far</v>
      </c>
      <c r="M128">
        <v>868</v>
      </c>
      <c r="N128">
        <f t="shared" si="9"/>
        <v>427924</v>
      </c>
    </row>
    <row r="129" spans="1:14" x14ac:dyDescent="0.25">
      <c r="A129" t="s">
        <v>200</v>
      </c>
      <c r="B129">
        <v>760</v>
      </c>
      <c r="C129">
        <v>107</v>
      </c>
      <c r="D129" s="2">
        <f t="shared" si="11"/>
        <v>0.14078947368421052</v>
      </c>
      <c r="E129" s="2" t="str">
        <f t="shared" si="6"/>
        <v>Medium loss</v>
      </c>
      <c r="F129">
        <v>649</v>
      </c>
      <c r="G129" t="s">
        <v>64</v>
      </c>
      <c r="H129" t="s">
        <v>32</v>
      </c>
      <c r="I129">
        <v>19.899999999999999</v>
      </c>
      <c r="J129">
        <v>2</v>
      </c>
      <c r="K129" t="str">
        <f t="shared" si="7"/>
        <v>Moderate delay</v>
      </c>
      <c r="L129" t="str">
        <f t="shared" si="8"/>
        <v>Medium distance</v>
      </c>
      <c r="M129">
        <v>1195</v>
      </c>
      <c r="N129">
        <f t="shared" si="9"/>
        <v>775555</v>
      </c>
    </row>
    <row r="130" spans="1:14" x14ac:dyDescent="0.25">
      <c r="A130" t="s">
        <v>201</v>
      </c>
      <c r="B130">
        <v>486</v>
      </c>
      <c r="C130">
        <v>96</v>
      </c>
      <c r="D130" s="2">
        <f t="shared" si="11"/>
        <v>0.19753086419753085</v>
      </c>
      <c r="E130" s="2" t="str">
        <f t="shared" si="6"/>
        <v>Medium loss</v>
      </c>
      <c r="F130">
        <v>387</v>
      </c>
      <c r="G130" t="s">
        <v>99</v>
      </c>
      <c r="H130" t="s">
        <v>32</v>
      </c>
      <c r="I130">
        <v>50.7</v>
      </c>
      <c r="J130">
        <v>3</v>
      </c>
      <c r="K130" t="str">
        <f t="shared" si="7"/>
        <v>Moderate delay</v>
      </c>
      <c r="L130" t="str">
        <f t="shared" si="8"/>
        <v>Far</v>
      </c>
      <c r="M130">
        <v>1159</v>
      </c>
      <c r="N130">
        <f t="shared" si="9"/>
        <v>448533</v>
      </c>
    </row>
    <row r="131" spans="1:14" x14ac:dyDescent="0.25">
      <c r="A131" t="s">
        <v>202</v>
      </c>
      <c r="B131">
        <v>464</v>
      </c>
      <c r="C131">
        <v>38</v>
      </c>
      <c r="D131" s="2">
        <f t="shared" si="11"/>
        <v>8.1896551724137928E-2</v>
      </c>
      <c r="E131" s="2" t="str">
        <f t="shared" ref="E131:E151" si="12">IF(D131&lt;=10%,"Lowest loss",IF(D131&lt;=20%,"Medium loss","Highest loss"))</f>
        <v>Lowest loss</v>
      </c>
      <c r="F131">
        <v>422</v>
      </c>
      <c r="G131" t="s">
        <v>64</v>
      </c>
      <c r="H131" t="s">
        <v>29</v>
      </c>
      <c r="I131">
        <v>8.1</v>
      </c>
      <c r="J131">
        <v>1</v>
      </c>
      <c r="K131" t="str">
        <f t="shared" ref="K131:K151" si="13">IF(J131="","Missing",IF(J131&lt;=1,"Quick sale",IF(J131&lt;=3,"Moderate delay","Long delay")))</f>
        <v>Quick sale</v>
      </c>
      <c r="L131" t="str">
        <f t="shared" ref="L131:L151" si="14">IF(I131="","Missing",IF(I131&lt;=10,"Near",IF(I131&lt;=30,"Medium distance","Far")))</f>
        <v>Near</v>
      </c>
      <c r="M131">
        <v>1151</v>
      </c>
      <c r="N131">
        <f t="shared" ref="N131:N151" si="15">IF(OR(F131="",M131=""),"",F131*M131)</f>
        <v>485722</v>
      </c>
    </row>
    <row r="132" spans="1:14" x14ac:dyDescent="0.25">
      <c r="A132" t="s">
        <v>203</v>
      </c>
      <c r="B132">
        <v>635</v>
      </c>
      <c r="C132">
        <v>81</v>
      </c>
      <c r="D132" s="2">
        <f t="shared" si="11"/>
        <v>0.12755905511811025</v>
      </c>
      <c r="E132" s="2" t="str">
        <f t="shared" si="12"/>
        <v>Medium loss</v>
      </c>
      <c r="F132">
        <v>552</v>
      </c>
      <c r="G132" t="s">
        <v>41</v>
      </c>
      <c r="H132" t="s">
        <v>32</v>
      </c>
      <c r="I132">
        <v>4.8</v>
      </c>
      <c r="J132">
        <v>3</v>
      </c>
      <c r="K132" t="str">
        <f t="shared" si="13"/>
        <v>Moderate delay</v>
      </c>
      <c r="L132" t="str">
        <f t="shared" si="14"/>
        <v>Near</v>
      </c>
      <c r="M132">
        <v>1303</v>
      </c>
      <c r="N132">
        <f t="shared" si="15"/>
        <v>719256</v>
      </c>
    </row>
    <row r="133" spans="1:14" x14ac:dyDescent="0.25">
      <c r="A133" t="s">
        <v>204</v>
      </c>
      <c r="B133">
        <v>417</v>
      </c>
      <c r="C133">
        <v>53</v>
      </c>
      <c r="D133" s="2">
        <f t="shared" si="11"/>
        <v>0.12709832134292565</v>
      </c>
      <c r="E133" s="2" t="str">
        <f t="shared" si="12"/>
        <v>Medium loss</v>
      </c>
      <c r="F133">
        <v>331</v>
      </c>
      <c r="G133" t="s">
        <v>64</v>
      </c>
      <c r="H133" t="s">
        <v>20</v>
      </c>
      <c r="I133">
        <v>14.3</v>
      </c>
      <c r="J133">
        <v>4</v>
      </c>
      <c r="K133" t="str">
        <f t="shared" si="13"/>
        <v>Long delay</v>
      </c>
      <c r="L133" t="str">
        <f t="shared" si="14"/>
        <v>Medium distance</v>
      </c>
      <c r="M133">
        <v>1805</v>
      </c>
      <c r="N133">
        <f t="shared" si="15"/>
        <v>597455</v>
      </c>
    </row>
    <row r="134" spans="1:14" x14ac:dyDescent="0.25">
      <c r="A134" t="s">
        <v>205</v>
      </c>
      <c r="B134">
        <v>187</v>
      </c>
      <c r="C134">
        <v>15</v>
      </c>
      <c r="D134" s="2">
        <f t="shared" si="11"/>
        <v>8.0213903743315509E-2</v>
      </c>
      <c r="E134" s="2" t="str">
        <f t="shared" si="12"/>
        <v>Lowest loss</v>
      </c>
      <c r="F134">
        <v>169</v>
      </c>
      <c r="G134" t="s">
        <v>64</v>
      </c>
      <c r="H134" t="s">
        <v>11</v>
      </c>
      <c r="I134">
        <v>14.3</v>
      </c>
      <c r="J134">
        <v>1</v>
      </c>
      <c r="K134" t="str">
        <f t="shared" si="13"/>
        <v>Quick sale</v>
      </c>
      <c r="L134" t="str">
        <f t="shared" si="14"/>
        <v>Medium distance</v>
      </c>
      <c r="M134">
        <v>1133</v>
      </c>
      <c r="N134">
        <f t="shared" si="15"/>
        <v>191477</v>
      </c>
    </row>
    <row r="135" spans="1:14" x14ac:dyDescent="0.25">
      <c r="A135" t="s">
        <v>206</v>
      </c>
      <c r="B135">
        <v>623</v>
      </c>
      <c r="C135">
        <v>73</v>
      </c>
      <c r="D135" s="2">
        <f t="shared" si="11"/>
        <v>0.11717495987158909</v>
      </c>
      <c r="E135" s="2" t="str">
        <f t="shared" si="12"/>
        <v>Medium loss</v>
      </c>
      <c r="F135">
        <v>518</v>
      </c>
      <c r="G135" t="s">
        <v>64</v>
      </c>
      <c r="H135" t="s">
        <v>207</v>
      </c>
      <c r="I135">
        <v>13.3</v>
      </c>
      <c r="J135">
        <v>5</v>
      </c>
      <c r="K135" t="str">
        <f t="shared" si="13"/>
        <v>Long delay</v>
      </c>
      <c r="L135" t="str">
        <f t="shared" si="14"/>
        <v>Medium distance</v>
      </c>
      <c r="M135">
        <v>944</v>
      </c>
      <c r="N135">
        <f t="shared" si="15"/>
        <v>488992</v>
      </c>
    </row>
    <row r="136" spans="1:14" x14ac:dyDescent="0.25">
      <c r="A136" t="s">
        <v>208</v>
      </c>
      <c r="B136">
        <v>510</v>
      </c>
      <c r="C136">
        <v>58</v>
      </c>
      <c r="D136" s="2">
        <f t="shared" si="11"/>
        <v>0.11372549019607843</v>
      </c>
      <c r="E136" s="2" t="str">
        <f t="shared" si="12"/>
        <v>Medium loss</v>
      </c>
      <c r="F136">
        <v>412</v>
      </c>
      <c r="G136" t="s">
        <v>99</v>
      </c>
      <c r="H136" t="s">
        <v>11</v>
      </c>
      <c r="I136">
        <v>46.3</v>
      </c>
      <c r="J136">
        <v>1</v>
      </c>
      <c r="K136" t="str">
        <f t="shared" si="13"/>
        <v>Quick sale</v>
      </c>
      <c r="L136" t="str">
        <f t="shared" si="14"/>
        <v>Far</v>
      </c>
      <c r="M136">
        <v>715</v>
      </c>
      <c r="N136">
        <f t="shared" si="15"/>
        <v>294580</v>
      </c>
    </row>
    <row r="137" spans="1:14" x14ac:dyDescent="0.25">
      <c r="A137" t="s">
        <v>209</v>
      </c>
      <c r="B137">
        <v>379</v>
      </c>
      <c r="C137">
        <v>60</v>
      </c>
      <c r="D137" s="2">
        <f t="shared" si="11"/>
        <v>0.15831134564643801</v>
      </c>
      <c r="E137" s="2" t="str">
        <f t="shared" si="12"/>
        <v>Medium loss</v>
      </c>
      <c r="F137">
        <v>318</v>
      </c>
      <c r="G137" t="s">
        <v>41</v>
      </c>
      <c r="H137" t="s">
        <v>32</v>
      </c>
      <c r="I137">
        <v>35.4</v>
      </c>
      <c r="J137">
        <v>2</v>
      </c>
      <c r="K137" t="str">
        <f t="shared" si="13"/>
        <v>Moderate delay</v>
      </c>
      <c r="L137" t="str">
        <f t="shared" si="14"/>
        <v>Far</v>
      </c>
      <c r="M137">
        <v>1057</v>
      </c>
      <c r="N137">
        <f t="shared" si="15"/>
        <v>336126</v>
      </c>
    </row>
    <row r="138" spans="1:14" x14ac:dyDescent="0.25">
      <c r="A138" t="s">
        <v>210</v>
      </c>
      <c r="B138">
        <v>234</v>
      </c>
      <c r="C138">
        <v>43</v>
      </c>
      <c r="D138" s="2">
        <f t="shared" si="11"/>
        <v>0.18376068376068377</v>
      </c>
      <c r="E138" s="2" t="str">
        <f t="shared" si="12"/>
        <v>Medium loss</v>
      </c>
      <c r="F138">
        <v>185</v>
      </c>
      <c r="G138" t="s">
        <v>64</v>
      </c>
      <c r="H138" t="s">
        <v>14</v>
      </c>
      <c r="I138">
        <v>16.2</v>
      </c>
      <c r="J138">
        <v>7</v>
      </c>
      <c r="K138" t="str">
        <f t="shared" si="13"/>
        <v>Long delay</v>
      </c>
      <c r="L138" t="str">
        <f t="shared" si="14"/>
        <v>Medium distance</v>
      </c>
      <c r="M138">
        <v>1389</v>
      </c>
      <c r="N138">
        <f t="shared" si="15"/>
        <v>256965</v>
      </c>
    </row>
    <row r="139" spans="1:14" x14ac:dyDescent="0.25">
      <c r="A139" t="s">
        <v>211</v>
      </c>
      <c r="B139">
        <v>354</v>
      </c>
      <c r="C139">
        <v>51</v>
      </c>
      <c r="D139" s="2">
        <f t="shared" si="11"/>
        <v>0.1440677966101695</v>
      </c>
      <c r="E139" s="2" t="str">
        <f t="shared" si="12"/>
        <v>Medium loss</v>
      </c>
      <c r="F139">
        <v>285</v>
      </c>
      <c r="G139" t="s">
        <v>64</v>
      </c>
      <c r="H139" t="s">
        <v>20</v>
      </c>
      <c r="I139">
        <v>11.6</v>
      </c>
      <c r="J139">
        <v>2</v>
      </c>
      <c r="K139" t="str">
        <f t="shared" si="13"/>
        <v>Moderate delay</v>
      </c>
      <c r="L139" t="str">
        <f t="shared" si="14"/>
        <v>Medium distance</v>
      </c>
      <c r="M139">
        <v>1535</v>
      </c>
      <c r="N139">
        <f t="shared" si="15"/>
        <v>437475</v>
      </c>
    </row>
    <row r="140" spans="1:14" x14ac:dyDescent="0.25">
      <c r="A140" t="s">
        <v>212</v>
      </c>
      <c r="B140">
        <v>483</v>
      </c>
      <c r="C140">
        <v>25</v>
      </c>
      <c r="D140" s="2">
        <f t="shared" si="11"/>
        <v>5.1759834368530024E-2</v>
      </c>
      <c r="E140" s="2" t="str">
        <f t="shared" si="12"/>
        <v>Lowest loss</v>
      </c>
      <c r="F140">
        <v>427</v>
      </c>
      <c r="G140" t="s">
        <v>41</v>
      </c>
      <c r="H140" t="s">
        <v>11</v>
      </c>
      <c r="I140">
        <v>10.9</v>
      </c>
      <c r="J140">
        <v>2</v>
      </c>
      <c r="K140" t="str">
        <f t="shared" si="13"/>
        <v>Moderate delay</v>
      </c>
      <c r="L140" t="str">
        <f t="shared" si="14"/>
        <v>Medium distance</v>
      </c>
      <c r="M140">
        <v>1472</v>
      </c>
      <c r="N140">
        <f t="shared" si="15"/>
        <v>628544</v>
      </c>
    </row>
    <row r="141" spans="1:14" x14ac:dyDescent="0.25">
      <c r="A141" t="s">
        <v>213</v>
      </c>
      <c r="B141">
        <v>529</v>
      </c>
      <c r="C141">
        <v>66</v>
      </c>
      <c r="D141" s="2">
        <f t="shared" si="11"/>
        <v>0.12476370510396975</v>
      </c>
      <c r="E141" s="2" t="str">
        <f t="shared" si="12"/>
        <v>Medium loss</v>
      </c>
      <c r="F141">
        <v>435</v>
      </c>
      <c r="G141" t="s">
        <v>99</v>
      </c>
      <c r="H141" t="s">
        <v>14</v>
      </c>
      <c r="I141">
        <v>15.7</v>
      </c>
      <c r="J141">
        <v>1</v>
      </c>
      <c r="K141" t="str">
        <f t="shared" si="13"/>
        <v>Quick sale</v>
      </c>
      <c r="L141" t="str">
        <f t="shared" si="14"/>
        <v>Medium distance</v>
      </c>
      <c r="M141">
        <v>1018</v>
      </c>
      <c r="N141">
        <f t="shared" si="15"/>
        <v>442830</v>
      </c>
    </row>
    <row r="142" spans="1:14" x14ac:dyDescent="0.25">
      <c r="A142" t="s">
        <v>214</v>
      </c>
      <c r="B142">
        <v>659</v>
      </c>
      <c r="C142">
        <v>121</v>
      </c>
      <c r="D142" s="2">
        <f t="shared" si="11"/>
        <v>0.18361153262518967</v>
      </c>
      <c r="E142" s="2" t="str">
        <f t="shared" si="12"/>
        <v>Medium loss</v>
      </c>
      <c r="F142">
        <v>508</v>
      </c>
      <c r="G142" t="s">
        <v>41</v>
      </c>
      <c r="H142" t="s">
        <v>11</v>
      </c>
      <c r="I142">
        <v>15.5</v>
      </c>
      <c r="J142">
        <v>4</v>
      </c>
      <c r="K142" t="str">
        <f t="shared" si="13"/>
        <v>Long delay</v>
      </c>
      <c r="L142" t="str">
        <f t="shared" si="14"/>
        <v>Medium distance</v>
      </c>
      <c r="M142">
        <v>917</v>
      </c>
      <c r="N142">
        <f t="shared" si="15"/>
        <v>465836</v>
      </c>
    </row>
    <row r="143" spans="1:14" x14ac:dyDescent="0.25">
      <c r="A143" t="s">
        <v>215</v>
      </c>
      <c r="B143">
        <v>130</v>
      </c>
      <c r="C143">
        <v>10</v>
      </c>
      <c r="D143" s="2">
        <f t="shared" si="11"/>
        <v>7.6923076923076927E-2</v>
      </c>
      <c r="E143" s="2" t="str">
        <f t="shared" si="12"/>
        <v>Lowest loss</v>
      </c>
      <c r="F143">
        <v>117</v>
      </c>
      <c r="G143" t="s">
        <v>99</v>
      </c>
      <c r="H143" t="s">
        <v>32</v>
      </c>
      <c r="I143">
        <v>12.5</v>
      </c>
      <c r="J143">
        <v>3</v>
      </c>
      <c r="K143" t="str">
        <f t="shared" si="13"/>
        <v>Moderate delay</v>
      </c>
      <c r="L143" t="str">
        <f t="shared" si="14"/>
        <v>Medium distance</v>
      </c>
      <c r="M143">
        <v>1157</v>
      </c>
      <c r="N143">
        <f t="shared" si="15"/>
        <v>135369</v>
      </c>
    </row>
    <row r="144" spans="1:14" x14ac:dyDescent="0.25">
      <c r="A144" t="s">
        <v>217</v>
      </c>
      <c r="B144">
        <v>334</v>
      </c>
      <c r="C144">
        <v>36</v>
      </c>
      <c r="D144" s="2">
        <f t="shared" si="11"/>
        <v>0.10778443113772455</v>
      </c>
      <c r="E144" s="2" t="str">
        <f t="shared" si="12"/>
        <v>Medium loss</v>
      </c>
      <c r="F144">
        <v>284</v>
      </c>
      <c r="G144" t="s">
        <v>41</v>
      </c>
      <c r="H144" t="s">
        <v>14</v>
      </c>
      <c r="I144">
        <v>6.6</v>
      </c>
      <c r="J144">
        <v>2</v>
      </c>
      <c r="K144" t="str">
        <f t="shared" si="13"/>
        <v>Moderate delay</v>
      </c>
      <c r="L144" t="str">
        <f t="shared" si="14"/>
        <v>Near</v>
      </c>
      <c r="M144">
        <v>1215</v>
      </c>
      <c r="N144">
        <f t="shared" si="15"/>
        <v>345060</v>
      </c>
    </row>
    <row r="145" spans="1:14" x14ac:dyDescent="0.25">
      <c r="A145" t="s">
        <v>218</v>
      </c>
      <c r="B145">
        <v>648</v>
      </c>
      <c r="C145">
        <v>142</v>
      </c>
      <c r="D145" s="2">
        <f t="shared" si="11"/>
        <v>0.2191358024691358</v>
      </c>
      <c r="E145" s="2" t="str">
        <f t="shared" si="12"/>
        <v>Highest loss</v>
      </c>
      <c r="F145">
        <v>422</v>
      </c>
      <c r="G145" t="s">
        <v>153</v>
      </c>
      <c r="H145" t="s">
        <v>32</v>
      </c>
      <c r="I145">
        <v>45.6</v>
      </c>
      <c r="J145">
        <v>5</v>
      </c>
      <c r="K145" t="str">
        <f t="shared" si="13"/>
        <v>Long delay</v>
      </c>
      <c r="L145" t="str">
        <f t="shared" si="14"/>
        <v>Far</v>
      </c>
      <c r="M145">
        <v>1165</v>
      </c>
      <c r="N145">
        <f t="shared" si="15"/>
        <v>491630</v>
      </c>
    </row>
    <row r="146" spans="1:14" x14ac:dyDescent="0.25">
      <c r="A146" t="s">
        <v>219</v>
      </c>
      <c r="B146">
        <v>1232</v>
      </c>
      <c r="C146">
        <v>162</v>
      </c>
      <c r="D146" s="2">
        <f t="shared" si="11"/>
        <v>0.1314935064935065</v>
      </c>
      <c r="E146" s="2" t="str">
        <f t="shared" si="12"/>
        <v>Medium loss</v>
      </c>
      <c r="F146">
        <v>1048</v>
      </c>
      <c r="G146" t="s">
        <v>64</v>
      </c>
      <c r="H146" t="s">
        <v>32</v>
      </c>
      <c r="I146">
        <v>16.2</v>
      </c>
      <c r="J146">
        <v>3</v>
      </c>
      <c r="K146" t="str">
        <f t="shared" si="13"/>
        <v>Moderate delay</v>
      </c>
      <c r="L146" t="str">
        <f t="shared" si="14"/>
        <v>Medium distance</v>
      </c>
      <c r="M146">
        <v>1187</v>
      </c>
      <c r="N146">
        <f t="shared" si="15"/>
        <v>1243976</v>
      </c>
    </row>
    <row r="147" spans="1:14" x14ac:dyDescent="0.25">
      <c r="A147" t="s">
        <v>220</v>
      </c>
      <c r="B147">
        <v>1282</v>
      </c>
      <c r="C147">
        <v>191</v>
      </c>
      <c r="D147" s="2">
        <f t="shared" si="11"/>
        <v>0.14898595943837753</v>
      </c>
      <c r="E147" s="2" t="str">
        <f t="shared" si="12"/>
        <v>Medium loss</v>
      </c>
      <c r="F147">
        <v>1051</v>
      </c>
      <c r="G147" t="s">
        <v>41</v>
      </c>
      <c r="H147" t="s">
        <v>11</v>
      </c>
      <c r="I147">
        <v>10.199999999999999</v>
      </c>
      <c r="J147">
        <v>4</v>
      </c>
      <c r="K147" t="str">
        <f t="shared" si="13"/>
        <v>Long delay</v>
      </c>
      <c r="L147" t="str">
        <f t="shared" si="14"/>
        <v>Medium distance</v>
      </c>
      <c r="M147">
        <v>1272</v>
      </c>
      <c r="N147">
        <f t="shared" si="15"/>
        <v>1336872</v>
      </c>
    </row>
    <row r="148" spans="1:14" x14ac:dyDescent="0.25">
      <c r="A148" t="s">
        <v>221</v>
      </c>
      <c r="B148">
        <v>1552</v>
      </c>
      <c r="C148">
        <v>283</v>
      </c>
      <c r="D148" s="2">
        <f t="shared" si="11"/>
        <v>0.18234536082474226</v>
      </c>
      <c r="E148" s="2" t="str">
        <f t="shared" si="12"/>
        <v>Medium loss</v>
      </c>
      <c r="F148">
        <v>1153</v>
      </c>
      <c r="G148" t="s">
        <v>64</v>
      </c>
      <c r="H148" t="s">
        <v>32</v>
      </c>
      <c r="I148">
        <v>15.1</v>
      </c>
      <c r="J148">
        <v>6</v>
      </c>
      <c r="K148" t="str">
        <f t="shared" si="13"/>
        <v>Long delay</v>
      </c>
      <c r="L148" t="str">
        <f t="shared" si="14"/>
        <v>Medium distance</v>
      </c>
      <c r="M148">
        <v>933</v>
      </c>
      <c r="N148">
        <f t="shared" si="15"/>
        <v>1075749</v>
      </c>
    </row>
    <row r="149" spans="1:14" x14ac:dyDescent="0.25">
      <c r="A149" t="s">
        <v>222</v>
      </c>
      <c r="B149">
        <v>213</v>
      </c>
      <c r="C149">
        <v>29</v>
      </c>
      <c r="D149" s="2">
        <f t="shared" si="11"/>
        <v>0.13615023474178403</v>
      </c>
      <c r="E149" s="2" t="str">
        <f t="shared" si="12"/>
        <v>Medium loss</v>
      </c>
      <c r="F149">
        <v>167</v>
      </c>
      <c r="G149" t="s">
        <v>64</v>
      </c>
      <c r="H149" t="s">
        <v>20</v>
      </c>
      <c r="I149">
        <v>22.8</v>
      </c>
      <c r="J149">
        <v>1</v>
      </c>
      <c r="K149" t="str">
        <f t="shared" si="13"/>
        <v>Quick sale</v>
      </c>
      <c r="L149" t="str">
        <f t="shared" si="14"/>
        <v>Medium distance</v>
      </c>
      <c r="M149">
        <v>1402</v>
      </c>
      <c r="N149">
        <f t="shared" si="15"/>
        <v>234134</v>
      </c>
    </row>
    <row r="150" spans="1:14" x14ac:dyDescent="0.25">
      <c r="A150" t="s">
        <v>223</v>
      </c>
      <c r="B150">
        <v>374</v>
      </c>
      <c r="C150">
        <v>51</v>
      </c>
      <c r="D150" s="2">
        <f t="shared" si="11"/>
        <v>0.13636363636363635</v>
      </c>
      <c r="E150" s="2" t="str">
        <f t="shared" si="12"/>
        <v>Medium loss</v>
      </c>
      <c r="F150">
        <v>313</v>
      </c>
      <c r="G150" t="s">
        <v>41</v>
      </c>
      <c r="H150" t="s">
        <v>32</v>
      </c>
      <c r="I150">
        <v>22.2</v>
      </c>
      <c r="J150">
        <v>3</v>
      </c>
      <c r="K150" t="str">
        <f t="shared" si="13"/>
        <v>Moderate delay</v>
      </c>
      <c r="L150" t="str">
        <f t="shared" si="14"/>
        <v>Medium distance</v>
      </c>
      <c r="M150">
        <v>1134</v>
      </c>
      <c r="N150">
        <f t="shared" si="15"/>
        <v>354942</v>
      </c>
    </row>
    <row r="151" spans="1:14" x14ac:dyDescent="0.25">
      <c r="A151" t="s">
        <v>225</v>
      </c>
      <c r="B151">
        <v>456</v>
      </c>
      <c r="C151">
        <v>96</v>
      </c>
      <c r="D151" s="2">
        <f t="shared" si="11"/>
        <v>0.21052631578947367</v>
      </c>
      <c r="E151" s="2" t="str">
        <f t="shared" si="12"/>
        <v>Highest loss</v>
      </c>
      <c r="F151">
        <v>356</v>
      </c>
      <c r="G151" t="s">
        <v>41</v>
      </c>
      <c r="H151" t="s">
        <v>11</v>
      </c>
      <c r="I151">
        <v>26.6</v>
      </c>
      <c r="J151">
        <v>5</v>
      </c>
      <c r="K151" t="str">
        <f t="shared" si="13"/>
        <v>Long delay</v>
      </c>
      <c r="L151" t="str">
        <f t="shared" si="14"/>
        <v>Medium distance</v>
      </c>
      <c r="M151">
        <v>0</v>
      </c>
      <c r="N151">
        <f t="shared" si="15"/>
        <v>0</v>
      </c>
    </row>
  </sheetData>
  <autoFilter ref="A1:M151" xr:uid="{00000000-0009-0000-0000-000002000000}"/>
  <conditionalFormatting sqref="A1:A1048576">
    <cfRule type="duplicateValues" dxfId="15"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election activeCell="H5" sqref="H5"/>
    </sheetView>
  </sheetViews>
  <sheetFormatPr defaultRowHeight="15" x14ac:dyDescent="0.25"/>
  <cols>
    <col min="1" max="1" width="18.140625" customWidth="1"/>
  </cols>
  <sheetData>
    <row r="1" spans="1:8" x14ac:dyDescent="0.25">
      <c r="A1" t="s">
        <v>262</v>
      </c>
      <c r="B1" t="s">
        <v>252</v>
      </c>
      <c r="C1" t="s">
        <v>269</v>
      </c>
      <c r="D1" t="s">
        <v>270</v>
      </c>
      <c r="E1" t="s">
        <v>271</v>
      </c>
      <c r="F1" t="s">
        <v>260</v>
      </c>
      <c r="G1" t="s">
        <v>261</v>
      </c>
      <c r="H1" t="s">
        <v>281</v>
      </c>
    </row>
    <row r="2" spans="1:8" x14ac:dyDescent="0.25">
      <c r="A2" t="s">
        <v>263</v>
      </c>
      <c r="B2">
        <f>COUNT(Raw_Data!B2:B151)</f>
        <v>139</v>
      </c>
      <c r="C2">
        <f>COUNT(Raw_Data!E2:E151)</f>
        <v>147</v>
      </c>
      <c r="D2">
        <f>COUNT(Raw_Data!C2:C151)</f>
        <v>136</v>
      </c>
      <c r="E2">
        <f>COUNT(Raw_Data!H2:H151)</f>
        <v>137</v>
      </c>
      <c r="F2">
        <f>COUNT(Raw_Data!I2:I151)</f>
        <v>147</v>
      </c>
      <c r="G2">
        <f>COUNT(Raw_Data!J2:J151)</f>
        <v>138</v>
      </c>
      <c r="H2">
        <f>COUNT(Clean_Data!D2:D151)</f>
        <v>150</v>
      </c>
    </row>
    <row r="3" spans="1:8" x14ac:dyDescent="0.25">
      <c r="A3" t="s">
        <v>264</v>
      </c>
      <c r="B3">
        <f>AVERAGE(Raw_Data!B2:B151)</f>
        <v>610.25179856115108</v>
      </c>
      <c r="C3">
        <f>AVERAGE(Raw_Data!E2:E151)</f>
        <v>490.72108843537416</v>
      </c>
      <c r="D3">
        <f>AVERAGE(Raw_Data!C2:C151)</f>
        <v>84.19852941176471</v>
      </c>
      <c r="E3">
        <f>AVERAGE(Raw_Data!H2:H151)</f>
        <v>17.840875912408755</v>
      </c>
      <c r="F3">
        <f>AVERAGE(Raw_Data!I2:I151)</f>
        <v>2.870748299319728</v>
      </c>
      <c r="G3">
        <f>AVERAGE(Raw_Data!J2:J151)</f>
        <v>1182.0289855072465</v>
      </c>
    </row>
    <row r="4" spans="1:8" x14ac:dyDescent="0.25">
      <c r="A4" t="s">
        <v>265</v>
      </c>
      <c r="B4">
        <f>MIN(Raw_Data!B2:B151)</f>
        <v>130</v>
      </c>
      <c r="C4">
        <f>MIN(Raw_Data!E2:E151)</f>
        <v>117</v>
      </c>
      <c r="D4">
        <f>MIN(Raw_Data!C2:C151)</f>
        <v>5</v>
      </c>
      <c r="E4">
        <f>MIN(Raw_Data!H2:H151)</f>
        <v>1.5</v>
      </c>
      <c r="F4">
        <f>MIN(Raw_Data!I2:I151)</f>
        <v>0</v>
      </c>
      <c r="G4">
        <f>MIN(Raw_Data!J2:J151)</f>
        <v>615</v>
      </c>
      <c r="H4" s="2">
        <f>MIN(Clean_Data!D2:D151)</f>
        <v>2.0491803278688523E-2</v>
      </c>
    </row>
    <row r="5" spans="1:8" x14ac:dyDescent="0.25">
      <c r="A5" t="s">
        <v>266</v>
      </c>
      <c r="B5">
        <f>MAX(Raw_Data!B2:B151)</f>
        <v>2132</v>
      </c>
      <c r="C5">
        <f>MAX(Raw_Data!E2:E151)</f>
        <v>1588</v>
      </c>
      <c r="D5">
        <f>MAX(Raw_Data!C2:C151)</f>
        <v>486</v>
      </c>
      <c r="E5">
        <f>MAX(Raw_Data!H2:H151)</f>
        <v>56</v>
      </c>
      <c r="F5">
        <f>MAX(Raw_Data!I2:I151)</f>
        <v>8</v>
      </c>
      <c r="G5">
        <f>MAX(Raw_Data!J2:J151)</f>
        <v>1964</v>
      </c>
      <c r="H5" s="2">
        <f>MAX(Clean_Data!D3:D152)</f>
        <v>0.28685258964143429</v>
      </c>
    </row>
    <row r="6" spans="1:8" x14ac:dyDescent="0.25">
      <c r="A6" t="s">
        <v>267</v>
      </c>
      <c r="B6">
        <f>MAX(Raw_Data!B2:B151)-MIN(Raw_Data!B2:B151)</f>
        <v>2002</v>
      </c>
      <c r="C6">
        <f>MAX(Raw_Data!E2:E151)-MIN(Raw_Data!E2:E151)</f>
        <v>1471</v>
      </c>
      <c r="D6">
        <f>MAX(Raw_Data!C2:C151)-MIN(Raw_Data!C2:C151)</f>
        <v>481</v>
      </c>
      <c r="E6">
        <f>MAX(Raw_Data!H2:H151)-MIN(Raw_Data!H2:H151)</f>
        <v>54.5</v>
      </c>
      <c r="F6">
        <f>MAX(Raw_Data!I2:I151)-MIN(Raw_Data!I2:I151)</f>
        <v>8</v>
      </c>
      <c r="G6">
        <f>MAX(Raw_Data!J2:J151)-MIN(Raw_Data!J2:J151)</f>
        <v>1349</v>
      </c>
    </row>
    <row r="7" spans="1:8" x14ac:dyDescent="0.25">
      <c r="A7" t="s">
        <v>268</v>
      </c>
      <c r="B7">
        <f>_xlfn.STDEV.S(Raw_Data!B2:B151)</f>
        <v>342.05390060727967</v>
      </c>
      <c r="C7">
        <f>_xlfn.STDEV.S(Raw_Data!E2:E151)</f>
        <v>266.8030360241126</v>
      </c>
      <c r="D7">
        <f>_xlfn.STDEV.S(Raw_Data!C2:C151)</f>
        <v>65.175866909853838</v>
      </c>
      <c r="E7">
        <f>_xlfn.STDEV.S(Raw_Data!H2:H151)</f>
        <v>12.297605904884181</v>
      </c>
      <c r="F7">
        <f>_xlfn.STDEV.S(Raw_Data!I2:I151)</f>
        <v>1.7052381380457449</v>
      </c>
      <c r="G7">
        <f>_xlfn.STDEV.S(Raw_Data!J2:J151)</f>
        <v>264.68689510132407</v>
      </c>
    </row>
    <row r="8" spans="1:8" x14ac:dyDescent="0.25">
      <c r="A8" t="s">
        <v>272</v>
      </c>
      <c r="B8">
        <f>MEDIAN(Raw_Data!B2:B151)</f>
        <v>529</v>
      </c>
      <c r="C8">
        <f>MEDIAN(Raw_Data!E2:E151)</f>
        <v>427</v>
      </c>
      <c r="D8">
        <f>MEDIAN(Raw_Data!C2:C151)</f>
        <v>72.5</v>
      </c>
      <c r="E8">
        <f>MEDIAN(Raw_Data!H2:H151)</f>
        <v>14.3</v>
      </c>
      <c r="F8">
        <f>MEDIAN(Raw_Data!I2:I151)</f>
        <v>3</v>
      </c>
      <c r="G8">
        <f>MEDIAN(Raw_Data!J2:J151)</f>
        <v>1191.5</v>
      </c>
    </row>
    <row r="9" spans="1:8" x14ac:dyDescent="0.25">
      <c r="A9" t="s">
        <v>273</v>
      </c>
      <c r="B9">
        <f>_xlfn.QUARTILE.INC(Raw_Data!B2:B151,1)</f>
        <v>376.5</v>
      </c>
      <c r="C9">
        <f>_xlfn.QUARTILE.INC(Raw_Data!E2:E151,1)</f>
        <v>299</v>
      </c>
      <c r="D9">
        <f>_xlfn.QUARTILE.INC(Raw_Data!C2:C151,1)</f>
        <v>47</v>
      </c>
      <c r="E9">
        <f>_xlfn.QUARTILE.INC(Raw_Data!H2:H151,1)</f>
        <v>8.8000000000000007</v>
      </c>
      <c r="F9">
        <f>_xlfn.QUARTILE.INC(Raw_Data!I2:I151,1)</f>
        <v>2</v>
      </c>
      <c r="G9">
        <f>_xlfn.QUARTILE.INC(Raw_Data!J2:J151,1)</f>
        <v>976</v>
      </c>
    </row>
    <row r="10" spans="1:8" x14ac:dyDescent="0.25">
      <c r="A10" t="s">
        <v>274</v>
      </c>
      <c r="B10">
        <f>_xlfn.QUARTILE.INC(Raw_Data!B2:B151,3)</f>
        <v>737</v>
      </c>
      <c r="C10">
        <f>_xlfn.QUARTILE.INC(Raw_Data!E2:E151,3)</f>
        <v>593.5</v>
      </c>
      <c r="D10">
        <f>_xlfn.QUARTILE.INC(Raw_Data!C2:C151,3)</f>
        <v>103.5</v>
      </c>
      <c r="E10">
        <f>_xlfn.QUARTILE.INC(Raw_Data!H2:H151,3)</f>
        <v>24.2</v>
      </c>
      <c r="F10">
        <f>_xlfn.QUARTILE.INC(Raw_Data!I2:I151,3)</f>
        <v>4</v>
      </c>
      <c r="G10">
        <f>_xlfn.QUARTILE.INC(Raw_Data!J2:J151,3)</f>
        <v>1349.5</v>
      </c>
    </row>
    <row r="11" spans="1:8" x14ac:dyDescent="0.25">
      <c r="A11" t="s">
        <v>275</v>
      </c>
      <c r="B11">
        <f t="shared" ref="B11:G11" si="0">B10-B9</f>
        <v>360.5</v>
      </c>
      <c r="C11">
        <f t="shared" si="0"/>
        <v>294.5</v>
      </c>
      <c r="D11">
        <f t="shared" si="0"/>
        <v>56.5</v>
      </c>
      <c r="E11">
        <f t="shared" si="0"/>
        <v>15.399999999999999</v>
      </c>
      <c r="F11">
        <f t="shared" si="0"/>
        <v>2</v>
      </c>
      <c r="G11">
        <f t="shared" si="0"/>
        <v>373.5</v>
      </c>
    </row>
    <row r="12" spans="1:8" x14ac:dyDescent="0.25">
      <c r="A12" t="s">
        <v>276</v>
      </c>
      <c r="B12">
        <f t="shared" ref="B12:G12" si="1">B9-(1.5*B11)</f>
        <v>-164.25</v>
      </c>
      <c r="C12">
        <f t="shared" si="1"/>
        <v>-142.75</v>
      </c>
      <c r="D12">
        <f t="shared" si="1"/>
        <v>-37.75</v>
      </c>
      <c r="E12">
        <f t="shared" si="1"/>
        <v>-14.299999999999997</v>
      </c>
      <c r="F12">
        <f t="shared" si="1"/>
        <v>-1</v>
      </c>
      <c r="G12">
        <f t="shared" si="1"/>
        <v>415.75</v>
      </c>
    </row>
    <row r="13" spans="1:8" x14ac:dyDescent="0.25">
      <c r="A13" t="s">
        <v>277</v>
      </c>
      <c r="B13">
        <f t="shared" ref="B13:G13" si="2">B10+(1.5*B11)</f>
        <v>1277.75</v>
      </c>
      <c r="C13">
        <f t="shared" si="2"/>
        <v>1035.25</v>
      </c>
      <c r="D13">
        <f t="shared" si="2"/>
        <v>188.25</v>
      </c>
      <c r="E13">
        <f t="shared" si="2"/>
        <v>47.3</v>
      </c>
      <c r="F13">
        <f t="shared" si="2"/>
        <v>7</v>
      </c>
      <c r="G13">
        <f t="shared" si="2"/>
        <v>1909.75</v>
      </c>
    </row>
    <row r="14" spans="1:8" x14ac:dyDescent="0.25">
      <c r="G14" t="s">
        <v>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1"/>
  <sheetViews>
    <sheetView workbookViewId="0">
      <pane ySplit="1" topLeftCell="A78" activePane="bottomLeft" state="frozen"/>
      <selection activeCell="B1" sqref="B1"/>
      <selection pane="bottomLeft" activeCell="C89" sqref="C89"/>
    </sheetView>
  </sheetViews>
  <sheetFormatPr defaultColWidth="10.85546875" defaultRowHeight="15" x14ac:dyDescent="0.25"/>
  <cols>
    <col min="1" max="1" width="10.140625" bestFit="1" customWidth="1"/>
    <col min="2" max="2" width="10.7109375" bestFit="1" customWidth="1"/>
    <col min="3" max="3" width="16.42578125" bestFit="1" customWidth="1"/>
    <col min="4" max="4" width="18.42578125" bestFit="1" customWidth="1"/>
    <col min="5" max="5" width="16.7109375" bestFit="1" customWidth="1"/>
    <col min="6" max="7" width="17.85546875" bestFit="1" customWidth="1"/>
    <col min="8" max="8" width="23" bestFit="1" customWidth="1"/>
    <col min="9" max="9" width="17" bestFit="1" customWidth="1"/>
    <col min="10" max="10" width="23.85546875" bestFit="1" customWidth="1"/>
  </cols>
  <sheetData>
    <row r="1" spans="1:10" x14ac:dyDescent="0.25">
      <c r="A1" s="1" t="s">
        <v>0</v>
      </c>
      <c r="B1" s="1" t="s">
        <v>1</v>
      </c>
      <c r="C1" s="1" t="s">
        <v>2</v>
      </c>
      <c r="D1" s="1" t="s">
        <v>279</v>
      </c>
      <c r="E1" s="1" t="s">
        <v>3</v>
      </c>
      <c r="F1" s="1" t="s">
        <v>4</v>
      </c>
      <c r="G1" s="1" t="s">
        <v>5</v>
      </c>
      <c r="H1" s="1" t="s">
        <v>6</v>
      </c>
      <c r="I1" s="1" t="s">
        <v>7</v>
      </c>
      <c r="J1" s="1" t="s">
        <v>8</v>
      </c>
    </row>
    <row r="2" spans="1:10" x14ac:dyDescent="0.25">
      <c r="A2" t="s">
        <v>9</v>
      </c>
      <c r="B2">
        <v>1300</v>
      </c>
      <c r="C2">
        <v>118</v>
      </c>
      <c r="D2" t="str">
        <f>IF(C2="","Missing",IF(C2&lt;50,"Low",IF(C2&gt;=100,"Medium","High")))</f>
        <v>Medium</v>
      </c>
      <c r="E2">
        <v>1120</v>
      </c>
      <c r="F2" t="s">
        <v>10</v>
      </c>
      <c r="G2" t="s">
        <v>11</v>
      </c>
      <c r="H2">
        <v>7.6</v>
      </c>
      <c r="I2">
        <v>3</v>
      </c>
      <c r="J2">
        <v>1479</v>
      </c>
    </row>
    <row r="3" spans="1:10" x14ac:dyDescent="0.25">
      <c r="A3" t="s">
        <v>12</v>
      </c>
      <c r="B3">
        <v>334</v>
      </c>
      <c r="C3">
        <v>54</v>
      </c>
      <c r="D3" t="str">
        <f t="shared" ref="D3:D66" si="0">IF(C3="","Missing",IF(C3&lt;50,"Low",IF(C3&gt;=100,"Medium","High")))</f>
        <v>High</v>
      </c>
      <c r="E3">
        <v>259</v>
      </c>
      <c r="F3" t="s">
        <v>13</v>
      </c>
      <c r="G3" t="s">
        <v>14</v>
      </c>
      <c r="H3">
        <v>33.700000000000003</v>
      </c>
      <c r="I3">
        <v>1</v>
      </c>
      <c r="J3">
        <v>1124</v>
      </c>
    </row>
    <row r="4" spans="1:10" x14ac:dyDescent="0.25">
      <c r="A4" t="s">
        <v>15</v>
      </c>
      <c r="B4">
        <v>1031</v>
      </c>
      <c r="C4">
        <v>189</v>
      </c>
      <c r="D4" t="str">
        <f t="shared" si="0"/>
        <v>Medium</v>
      </c>
      <c r="E4">
        <v>775</v>
      </c>
      <c r="F4" t="s">
        <v>16</v>
      </c>
      <c r="G4" t="s">
        <v>17</v>
      </c>
      <c r="H4">
        <v>29.4</v>
      </c>
      <c r="I4">
        <v>4</v>
      </c>
      <c r="J4">
        <v>1599</v>
      </c>
    </row>
    <row r="5" spans="1:10" x14ac:dyDescent="0.25">
      <c r="A5" t="s">
        <v>18</v>
      </c>
      <c r="B5">
        <v>578</v>
      </c>
      <c r="C5">
        <v>42</v>
      </c>
      <c r="D5" t="str">
        <f t="shared" si="0"/>
        <v>Low</v>
      </c>
      <c r="E5">
        <v>534</v>
      </c>
      <c r="F5" t="s">
        <v>19</v>
      </c>
      <c r="G5" t="s">
        <v>20</v>
      </c>
      <c r="H5">
        <v>16</v>
      </c>
      <c r="I5">
        <v>1</v>
      </c>
      <c r="J5">
        <v>1721</v>
      </c>
    </row>
    <row r="6" spans="1:10" x14ac:dyDescent="0.25">
      <c r="A6" t="s">
        <v>21</v>
      </c>
      <c r="B6">
        <v>577</v>
      </c>
      <c r="C6">
        <v>115</v>
      </c>
      <c r="D6" t="str">
        <f t="shared" si="0"/>
        <v>Medium</v>
      </c>
      <c r="E6">
        <v>422</v>
      </c>
      <c r="F6" t="s">
        <v>16</v>
      </c>
      <c r="G6" t="s">
        <v>22</v>
      </c>
      <c r="H6">
        <v>9.5</v>
      </c>
      <c r="I6">
        <v>7</v>
      </c>
      <c r="J6">
        <v>962</v>
      </c>
    </row>
    <row r="7" spans="1:10" x14ac:dyDescent="0.25">
      <c r="A7" t="s">
        <v>23</v>
      </c>
      <c r="B7">
        <v>1523</v>
      </c>
      <c r="C7">
        <v>208</v>
      </c>
      <c r="D7" t="str">
        <f t="shared" si="0"/>
        <v>Medium</v>
      </c>
      <c r="E7">
        <v>1267</v>
      </c>
      <c r="F7" t="s">
        <v>16</v>
      </c>
      <c r="G7" t="s">
        <v>22</v>
      </c>
      <c r="H7" t="s">
        <v>24</v>
      </c>
      <c r="I7">
        <v>4</v>
      </c>
      <c r="J7">
        <v>1488</v>
      </c>
    </row>
    <row r="8" spans="1:10" x14ac:dyDescent="0.25">
      <c r="A8" t="s">
        <v>25</v>
      </c>
      <c r="B8">
        <v>860</v>
      </c>
      <c r="C8">
        <v>185</v>
      </c>
      <c r="D8" t="str">
        <f t="shared" si="0"/>
        <v>Medium</v>
      </c>
      <c r="E8">
        <v>635</v>
      </c>
      <c r="F8" t="s">
        <v>26</v>
      </c>
      <c r="G8" t="s">
        <v>27</v>
      </c>
      <c r="H8">
        <v>7.4</v>
      </c>
      <c r="I8">
        <v>6</v>
      </c>
    </row>
    <row r="9" spans="1:10" x14ac:dyDescent="0.25">
      <c r="A9" t="s">
        <v>28</v>
      </c>
      <c r="B9">
        <v>1129</v>
      </c>
      <c r="C9">
        <v>155</v>
      </c>
      <c r="D9" t="str">
        <f t="shared" si="0"/>
        <v>Medium</v>
      </c>
      <c r="E9">
        <v>956</v>
      </c>
      <c r="F9" t="s">
        <v>26</v>
      </c>
      <c r="G9" t="s">
        <v>29</v>
      </c>
      <c r="H9">
        <v>10.7</v>
      </c>
      <c r="I9">
        <v>1</v>
      </c>
      <c r="J9">
        <v>1452</v>
      </c>
    </row>
    <row r="10" spans="1:10" x14ac:dyDescent="0.25">
      <c r="A10" t="s">
        <v>30</v>
      </c>
      <c r="B10">
        <v>671</v>
      </c>
      <c r="C10" t="s">
        <v>31</v>
      </c>
      <c r="D10" t="str">
        <f t="shared" si="0"/>
        <v>Medium</v>
      </c>
      <c r="E10">
        <v>587</v>
      </c>
      <c r="F10" t="s">
        <v>16</v>
      </c>
      <c r="G10" t="s">
        <v>32</v>
      </c>
      <c r="I10">
        <v>2</v>
      </c>
      <c r="J10" t="s">
        <v>33</v>
      </c>
    </row>
    <row r="11" spans="1:10" x14ac:dyDescent="0.25">
      <c r="A11" t="s">
        <v>34</v>
      </c>
      <c r="B11">
        <v>1240</v>
      </c>
      <c r="C11">
        <v>170</v>
      </c>
      <c r="D11" t="str">
        <f t="shared" si="0"/>
        <v>Medium</v>
      </c>
      <c r="E11">
        <v>972</v>
      </c>
      <c r="F11" t="s">
        <v>35</v>
      </c>
      <c r="G11" t="s">
        <v>22</v>
      </c>
      <c r="H11">
        <v>3.3</v>
      </c>
      <c r="I11">
        <v>5</v>
      </c>
    </row>
    <row r="12" spans="1:10" x14ac:dyDescent="0.25">
      <c r="A12" t="s">
        <v>36</v>
      </c>
      <c r="B12" t="s">
        <v>37</v>
      </c>
      <c r="C12">
        <v>22</v>
      </c>
      <c r="D12" t="str">
        <f t="shared" si="0"/>
        <v>Low</v>
      </c>
      <c r="E12">
        <v>156</v>
      </c>
      <c r="F12" t="s">
        <v>35</v>
      </c>
      <c r="G12" t="s">
        <v>22</v>
      </c>
      <c r="H12">
        <v>3.9</v>
      </c>
      <c r="I12">
        <v>4</v>
      </c>
      <c r="J12">
        <v>1604</v>
      </c>
    </row>
    <row r="13" spans="1:10" x14ac:dyDescent="0.25">
      <c r="A13" t="s">
        <v>38</v>
      </c>
      <c r="B13">
        <v>628</v>
      </c>
      <c r="C13">
        <v>121</v>
      </c>
      <c r="D13" t="str">
        <f t="shared" si="0"/>
        <v>Medium</v>
      </c>
      <c r="E13">
        <v>485</v>
      </c>
      <c r="F13" t="s">
        <v>16</v>
      </c>
      <c r="G13" t="s">
        <v>39</v>
      </c>
      <c r="H13">
        <v>15.5</v>
      </c>
      <c r="I13">
        <v>6</v>
      </c>
      <c r="J13">
        <v>874</v>
      </c>
    </row>
    <row r="14" spans="1:10" x14ac:dyDescent="0.25">
      <c r="A14" t="s">
        <v>40</v>
      </c>
      <c r="B14">
        <v>617</v>
      </c>
      <c r="C14">
        <v>100</v>
      </c>
      <c r="D14" t="str">
        <f t="shared" si="0"/>
        <v>Medium</v>
      </c>
      <c r="E14">
        <v>506</v>
      </c>
      <c r="F14" t="s">
        <v>41</v>
      </c>
      <c r="G14" t="s">
        <v>42</v>
      </c>
      <c r="H14">
        <v>6.8</v>
      </c>
      <c r="I14">
        <v>4</v>
      </c>
      <c r="J14">
        <v>1266</v>
      </c>
    </row>
    <row r="15" spans="1:10" x14ac:dyDescent="0.25">
      <c r="A15" t="s">
        <v>43</v>
      </c>
      <c r="B15">
        <v>741</v>
      </c>
      <c r="C15">
        <v>92</v>
      </c>
      <c r="D15" t="str">
        <f t="shared" si="0"/>
        <v>High</v>
      </c>
      <c r="E15">
        <v>620</v>
      </c>
      <c r="F15" t="s">
        <v>16</v>
      </c>
      <c r="G15" t="s">
        <v>39</v>
      </c>
      <c r="H15">
        <v>13.7</v>
      </c>
      <c r="I15">
        <v>1</v>
      </c>
      <c r="J15">
        <v>1408</v>
      </c>
    </row>
    <row r="16" spans="1:10" x14ac:dyDescent="0.25">
      <c r="A16" t="s">
        <v>44</v>
      </c>
      <c r="B16">
        <v>253</v>
      </c>
      <c r="C16">
        <v>49</v>
      </c>
      <c r="D16" t="str">
        <f t="shared" si="0"/>
        <v>Low</v>
      </c>
      <c r="E16">
        <v>190</v>
      </c>
      <c r="F16" t="s">
        <v>35</v>
      </c>
      <c r="G16" t="s">
        <v>29</v>
      </c>
      <c r="H16">
        <v>39.1</v>
      </c>
      <c r="I16">
        <v>5</v>
      </c>
      <c r="J16" t="s">
        <v>45</v>
      </c>
    </row>
    <row r="17" spans="1:10" x14ac:dyDescent="0.25">
      <c r="A17" t="s">
        <v>46</v>
      </c>
      <c r="B17">
        <v>347</v>
      </c>
      <c r="C17">
        <v>49</v>
      </c>
      <c r="D17" t="str">
        <f t="shared" si="0"/>
        <v>Low</v>
      </c>
      <c r="E17">
        <v>285</v>
      </c>
      <c r="F17" t="s">
        <v>26</v>
      </c>
      <c r="G17" t="s">
        <v>39</v>
      </c>
      <c r="H17">
        <v>6.7</v>
      </c>
      <c r="I17">
        <v>6</v>
      </c>
      <c r="J17">
        <v>931</v>
      </c>
    </row>
    <row r="18" spans="1:10" x14ac:dyDescent="0.25">
      <c r="A18" t="s">
        <v>47</v>
      </c>
      <c r="B18">
        <v>503</v>
      </c>
      <c r="C18">
        <v>28</v>
      </c>
      <c r="D18" t="str">
        <f t="shared" si="0"/>
        <v>Low</v>
      </c>
      <c r="E18">
        <v>447</v>
      </c>
      <c r="F18" t="s">
        <v>16</v>
      </c>
      <c r="G18" t="s">
        <v>39</v>
      </c>
      <c r="H18">
        <v>1.9</v>
      </c>
      <c r="I18">
        <v>1</v>
      </c>
      <c r="J18">
        <v>1132</v>
      </c>
    </row>
    <row r="19" spans="1:10" x14ac:dyDescent="0.25">
      <c r="A19" t="s">
        <v>48</v>
      </c>
      <c r="B19">
        <v>386</v>
      </c>
      <c r="C19" t="s">
        <v>31</v>
      </c>
      <c r="D19" t="str">
        <f t="shared" si="0"/>
        <v>Medium</v>
      </c>
      <c r="E19">
        <v>326</v>
      </c>
      <c r="F19" t="s">
        <v>16</v>
      </c>
      <c r="G19" t="s">
        <v>39</v>
      </c>
      <c r="H19">
        <v>22</v>
      </c>
      <c r="I19">
        <v>3</v>
      </c>
      <c r="J19">
        <v>956</v>
      </c>
    </row>
    <row r="20" spans="1:10" x14ac:dyDescent="0.25">
      <c r="A20" t="s">
        <v>49</v>
      </c>
      <c r="B20">
        <v>918</v>
      </c>
      <c r="C20">
        <v>87</v>
      </c>
      <c r="D20" t="str">
        <f t="shared" si="0"/>
        <v>High</v>
      </c>
      <c r="E20">
        <v>773</v>
      </c>
      <c r="F20" t="s">
        <v>26</v>
      </c>
      <c r="G20" t="s">
        <v>11</v>
      </c>
      <c r="H20">
        <v>13.6</v>
      </c>
      <c r="I20">
        <v>2</v>
      </c>
      <c r="J20" t="s">
        <v>50</v>
      </c>
    </row>
    <row r="21" spans="1:10" x14ac:dyDescent="0.25">
      <c r="A21" t="s">
        <v>51</v>
      </c>
      <c r="B21">
        <v>307</v>
      </c>
      <c r="D21" t="str">
        <f t="shared" si="0"/>
        <v>Missing</v>
      </c>
      <c r="E21">
        <v>264</v>
      </c>
      <c r="F21" t="s">
        <v>16</v>
      </c>
      <c r="G21" t="s">
        <v>42</v>
      </c>
      <c r="H21">
        <v>7.9</v>
      </c>
      <c r="I21">
        <v>2</v>
      </c>
      <c r="J21">
        <v>1350</v>
      </c>
    </row>
    <row r="22" spans="1:10" x14ac:dyDescent="0.25">
      <c r="A22" t="s">
        <v>52</v>
      </c>
      <c r="B22">
        <v>468</v>
      </c>
      <c r="C22">
        <v>75</v>
      </c>
      <c r="D22" t="str">
        <f t="shared" si="0"/>
        <v>High</v>
      </c>
      <c r="E22">
        <v>377</v>
      </c>
      <c r="F22" t="s">
        <v>16</v>
      </c>
      <c r="G22" t="s">
        <v>22</v>
      </c>
      <c r="H22">
        <v>40.700000000000003</v>
      </c>
      <c r="I22">
        <v>2</v>
      </c>
      <c r="J22">
        <v>1410</v>
      </c>
    </row>
    <row r="23" spans="1:10" x14ac:dyDescent="0.25">
      <c r="A23" t="s">
        <v>53</v>
      </c>
      <c r="B23" t="s">
        <v>54</v>
      </c>
      <c r="C23">
        <v>77</v>
      </c>
      <c r="D23" t="str">
        <f t="shared" si="0"/>
        <v>High</v>
      </c>
      <c r="E23">
        <v>298</v>
      </c>
      <c r="F23" t="s">
        <v>16</v>
      </c>
      <c r="G23" t="s">
        <v>14</v>
      </c>
      <c r="H23">
        <v>38</v>
      </c>
      <c r="I23">
        <v>3</v>
      </c>
      <c r="J23">
        <v>1576</v>
      </c>
    </row>
    <row r="24" spans="1:10" x14ac:dyDescent="0.25">
      <c r="A24" t="s">
        <v>55</v>
      </c>
      <c r="B24">
        <v>292</v>
      </c>
      <c r="C24">
        <v>36</v>
      </c>
      <c r="D24" t="str">
        <f t="shared" si="0"/>
        <v>Low</v>
      </c>
      <c r="E24">
        <v>252</v>
      </c>
      <c r="F24" t="s">
        <v>26</v>
      </c>
      <c r="G24" t="s">
        <v>22</v>
      </c>
      <c r="H24">
        <v>2.8</v>
      </c>
      <c r="I24">
        <v>1</v>
      </c>
      <c r="J24">
        <v>1283</v>
      </c>
    </row>
    <row r="25" spans="1:10" x14ac:dyDescent="0.25">
      <c r="A25" t="s">
        <v>56</v>
      </c>
      <c r="B25" t="s">
        <v>57</v>
      </c>
      <c r="C25">
        <v>60</v>
      </c>
      <c r="D25" t="str">
        <f t="shared" si="0"/>
        <v>High</v>
      </c>
      <c r="E25">
        <v>511</v>
      </c>
      <c r="F25" t="s">
        <v>16</v>
      </c>
      <c r="G25" t="s">
        <v>22</v>
      </c>
      <c r="H25">
        <v>18.2</v>
      </c>
      <c r="I25">
        <v>3</v>
      </c>
      <c r="J25">
        <v>726</v>
      </c>
    </row>
    <row r="26" spans="1:10" x14ac:dyDescent="0.25">
      <c r="A26" t="s">
        <v>58</v>
      </c>
      <c r="B26">
        <v>571</v>
      </c>
      <c r="C26">
        <v>112</v>
      </c>
      <c r="D26" t="str">
        <f t="shared" si="0"/>
        <v>Medium</v>
      </c>
      <c r="E26">
        <v>451</v>
      </c>
      <c r="F26" t="s">
        <v>26</v>
      </c>
      <c r="G26" t="s">
        <v>59</v>
      </c>
      <c r="H26">
        <v>24.4</v>
      </c>
      <c r="I26">
        <v>4</v>
      </c>
      <c r="J26">
        <v>1377</v>
      </c>
    </row>
    <row r="27" spans="1:10" x14ac:dyDescent="0.25">
      <c r="A27" t="s">
        <v>60</v>
      </c>
      <c r="B27">
        <v>845</v>
      </c>
      <c r="C27">
        <v>101</v>
      </c>
      <c r="D27" t="str">
        <f t="shared" si="0"/>
        <v>Medium</v>
      </c>
      <c r="E27">
        <v>727</v>
      </c>
      <c r="F27" t="s">
        <v>16</v>
      </c>
      <c r="G27" t="s">
        <v>22</v>
      </c>
      <c r="H27">
        <v>4.8</v>
      </c>
      <c r="I27">
        <v>4</v>
      </c>
      <c r="J27">
        <v>1594</v>
      </c>
    </row>
    <row r="28" spans="1:10" x14ac:dyDescent="0.25">
      <c r="A28" t="s">
        <v>61</v>
      </c>
      <c r="B28">
        <v>634</v>
      </c>
      <c r="C28">
        <v>102</v>
      </c>
      <c r="D28" t="str">
        <f t="shared" si="0"/>
        <v>Medium</v>
      </c>
      <c r="E28">
        <v>505</v>
      </c>
      <c r="G28" t="s">
        <v>22</v>
      </c>
      <c r="H28">
        <v>26</v>
      </c>
      <c r="I28">
        <v>3</v>
      </c>
      <c r="J28">
        <v>773</v>
      </c>
    </row>
    <row r="29" spans="1:10" x14ac:dyDescent="0.25">
      <c r="A29" t="s">
        <v>62</v>
      </c>
      <c r="B29" t="s">
        <v>63</v>
      </c>
      <c r="C29">
        <v>76</v>
      </c>
      <c r="D29" t="str">
        <f t="shared" si="0"/>
        <v>High</v>
      </c>
      <c r="E29">
        <v>529</v>
      </c>
      <c r="F29" t="s">
        <v>64</v>
      </c>
      <c r="G29" t="s">
        <v>11</v>
      </c>
      <c r="H29">
        <v>3.2</v>
      </c>
      <c r="I29">
        <v>4</v>
      </c>
      <c r="J29">
        <v>703</v>
      </c>
    </row>
    <row r="30" spans="1:10" x14ac:dyDescent="0.25">
      <c r="A30" t="s">
        <v>65</v>
      </c>
      <c r="B30">
        <v>370</v>
      </c>
      <c r="C30">
        <v>60</v>
      </c>
      <c r="D30" t="str">
        <f t="shared" si="0"/>
        <v>High</v>
      </c>
      <c r="E30">
        <v>284</v>
      </c>
      <c r="F30" t="s">
        <v>16</v>
      </c>
      <c r="G30" t="s">
        <v>42</v>
      </c>
      <c r="H30">
        <v>8.5</v>
      </c>
      <c r="I30">
        <v>4</v>
      </c>
      <c r="J30">
        <v>1516</v>
      </c>
    </row>
    <row r="31" spans="1:10" x14ac:dyDescent="0.25">
      <c r="A31" t="s">
        <v>66</v>
      </c>
      <c r="B31">
        <v>395</v>
      </c>
      <c r="C31">
        <v>34</v>
      </c>
      <c r="D31" t="str">
        <f t="shared" si="0"/>
        <v>Low</v>
      </c>
      <c r="E31">
        <v>341</v>
      </c>
      <c r="F31" t="s">
        <v>35</v>
      </c>
      <c r="G31" t="s">
        <v>11</v>
      </c>
      <c r="H31">
        <v>4.4000000000000004</v>
      </c>
      <c r="I31">
        <v>2</v>
      </c>
      <c r="J31">
        <v>876</v>
      </c>
    </row>
    <row r="32" spans="1:10" x14ac:dyDescent="0.25">
      <c r="A32" t="s">
        <v>67</v>
      </c>
      <c r="B32">
        <v>571</v>
      </c>
      <c r="C32">
        <v>103</v>
      </c>
      <c r="D32" t="str">
        <f t="shared" si="0"/>
        <v>Medium</v>
      </c>
      <c r="E32">
        <v>437</v>
      </c>
      <c r="F32" t="s">
        <v>16</v>
      </c>
      <c r="G32" t="s">
        <v>22</v>
      </c>
      <c r="H32">
        <v>43.5</v>
      </c>
      <c r="I32">
        <v>3</v>
      </c>
      <c r="J32" t="s">
        <v>68</v>
      </c>
    </row>
    <row r="33" spans="1:10" x14ac:dyDescent="0.25">
      <c r="A33" t="s">
        <v>69</v>
      </c>
      <c r="B33">
        <v>404</v>
      </c>
      <c r="C33">
        <v>36</v>
      </c>
      <c r="D33" t="str">
        <f t="shared" si="0"/>
        <v>Low</v>
      </c>
      <c r="E33">
        <v>354</v>
      </c>
      <c r="F33" t="s">
        <v>26</v>
      </c>
      <c r="G33" t="s">
        <v>59</v>
      </c>
      <c r="H33">
        <v>16.3</v>
      </c>
      <c r="I33">
        <v>1</v>
      </c>
      <c r="J33">
        <v>1304</v>
      </c>
    </row>
    <row r="34" spans="1:10" x14ac:dyDescent="0.25">
      <c r="A34" t="s">
        <v>70</v>
      </c>
      <c r="B34">
        <v>1160</v>
      </c>
      <c r="C34">
        <v>115</v>
      </c>
      <c r="D34" t="str">
        <f t="shared" si="0"/>
        <v>Medium</v>
      </c>
      <c r="E34">
        <v>1020</v>
      </c>
      <c r="F34" t="s">
        <v>16</v>
      </c>
      <c r="G34" t="s">
        <v>39</v>
      </c>
      <c r="H34">
        <v>6.2</v>
      </c>
      <c r="I34">
        <v>5</v>
      </c>
      <c r="J34">
        <v>654</v>
      </c>
    </row>
    <row r="35" spans="1:10" x14ac:dyDescent="0.25">
      <c r="A35" t="s">
        <v>71</v>
      </c>
      <c r="B35">
        <v>426</v>
      </c>
      <c r="C35">
        <v>72</v>
      </c>
      <c r="D35" t="str">
        <f t="shared" si="0"/>
        <v>High</v>
      </c>
      <c r="E35">
        <v>331</v>
      </c>
      <c r="F35" t="s">
        <v>26</v>
      </c>
      <c r="G35" t="s">
        <v>39</v>
      </c>
      <c r="H35">
        <v>15</v>
      </c>
      <c r="I35">
        <v>2</v>
      </c>
      <c r="J35">
        <v>1339</v>
      </c>
    </row>
    <row r="36" spans="1:10" x14ac:dyDescent="0.25">
      <c r="A36" t="s">
        <v>72</v>
      </c>
      <c r="B36">
        <v>516</v>
      </c>
      <c r="C36">
        <v>26</v>
      </c>
      <c r="D36" t="str">
        <f t="shared" si="0"/>
        <v>Low</v>
      </c>
      <c r="E36">
        <v>470</v>
      </c>
      <c r="F36" t="s">
        <v>35</v>
      </c>
      <c r="G36" t="s">
        <v>14</v>
      </c>
      <c r="H36">
        <v>6.2</v>
      </c>
      <c r="I36">
        <v>1</v>
      </c>
      <c r="J36">
        <v>1335</v>
      </c>
    </row>
    <row r="37" spans="1:10" x14ac:dyDescent="0.25">
      <c r="A37" t="s">
        <v>73</v>
      </c>
      <c r="B37">
        <v>279</v>
      </c>
      <c r="C37">
        <v>36</v>
      </c>
      <c r="D37" t="str">
        <f t="shared" si="0"/>
        <v>Low</v>
      </c>
      <c r="E37">
        <v>233</v>
      </c>
      <c r="F37" t="s">
        <v>16</v>
      </c>
      <c r="G37" t="s">
        <v>39</v>
      </c>
      <c r="H37">
        <v>12.3</v>
      </c>
      <c r="I37">
        <v>3</v>
      </c>
      <c r="J37">
        <v>1401</v>
      </c>
    </row>
    <row r="38" spans="1:10" x14ac:dyDescent="0.25">
      <c r="A38" t="s">
        <v>74</v>
      </c>
      <c r="B38">
        <v>445</v>
      </c>
      <c r="C38">
        <v>49</v>
      </c>
      <c r="D38" t="str">
        <f t="shared" si="0"/>
        <v>Low</v>
      </c>
      <c r="E38">
        <v>391</v>
      </c>
      <c r="F38" t="s">
        <v>35</v>
      </c>
      <c r="G38" t="s">
        <v>11</v>
      </c>
      <c r="H38">
        <v>3.7</v>
      </c>
      <c r="I38">
        <v>5</v>
      </c>
      <c r="J38" t="s">
        <v>75</v>
      </c>
    </row>
    <row r="39" spans="1:10" x14ac:dyDescent="0.25">
      <c r="A39" t="s">
        <v>76</v>
      </c>
      <c r="B39">
        <v>676</v>
      </c>
      <c r="C39">
        <v>105</v>
      </c>
      <c r="D39" t="str">
        <f t="shared" si="0"/>
        <v>Medium</v>
      </c>
      <c r="E39">
        <v>548</v>
      </c>
      <c r="F39" t="s">
        <v>26</v>
      </c>
      <c r="G39" t="s">
        <v>39</v>
      </c>
      <c r="H39">
        <v>12.2</v>
      </c>
      <c r="I39">
        <v>6</v>
      </c>
      <c r="J39">
        <v>1297</v>
      </c>
    </row>
    <row r="40" spans="1:10" x14ac:dyDescent="0.25">
      <c r="A40" t="s">
        <v>77</v>
      </c>
      <c r="B40">
        <v>484</v>
      </c>
      <c r="C40">
        <v>76</v>
      </c>
      <c r="D40" t="str">
        <f t="shared" si="0"/>
        <v>High</v>
      </c>
      <c r="E40">
        <v>403</v>
      </c>
      <c r="F40" t="s">
        <v>26</v>
      </c>
      <c r="G40" t="s">
        <v>11</v>
      </c>
      <c r="H40">
        <v>4.7</v>
      </c>
      <c r="I40">
        <v>2</v>
      </c>
      <c r="J40" t="s">
        <v>78</v>
      </c>
    </row>
    <row r="41" spans="1:10" x14ac:dyDescent="0.25">
      <c r="A41" t="s">
        <v>79</v>
      </c>
      <c r="B41">
        <v>546</v>
      </c>
      <c r="C41">
        <v>26</v>
      </c>
      <c r="D41" t="str">
        <f t="shared" si="0"/>
        <v>Low</v>
      </c>
      <c r="E41">
        <v>508</v>
      </c>
      <c r="G41" t="s">
        <v>32</v>
      </c>
      <c r="H41">
        <v>14.3</v>
      </c>
      <c r="I41">
        <v>2</v>
      </c>
      <c r="J41">
        <v>1016</v>
      </c>
    </row>
    <row r="42" spans="1:10" x14ac:dyDescent="0.25">
      <c r="A42" t="s">
        <v>80</v>
      </c>
      <c r="B42">
        <v>227</v>
      </c>
      <c r="C42" t="s">
        <v>81</v>
      </c>
      <c r="D42" t="str">
        <f t="shared" si="0"/>
        <v>Medium</v>
      </c>
      <c r="E42">
        <v>192</v>
      </c>
      <c r="F42" t="s">
        <v>16</v>
      </c>
      <c r="G42" t="s">
        <v>20</v>
      </c>
      <c r="H42">
        <v>6.4</v>
      </c>
      <c r="I42">
        <v>1</v>
      </c>
      <c r="J42">
        <v>1039</v>
      </c>
    </row>
    <row r="43" spans="1:10" x14ac:dyDescent="0.25">
      <c r="A43" t="s">
        <v>82</v>
      </c>
      <c r="C43">
        <v>47</v>
      </c>
      <c r="D43" t="str">
        <f t="shared" si="0"/>
        <v>Low</v>
      </c>
      <c r="E43">
        <v>349</v>
      </c>
      <c r="F43" t="s">
        <v>26</v>
      </c>
      <c r="G43" t="s">
        <v>22</v>
      </c>
      <c r="H43">
        <v>3.1</v>
      </c>
      <c r="I43">
        <v>2</v>
      </c>
      <c r="J43">
        <v>920</v>
      </c>
    </row>
    <row r="44" spans="1:10" x14ac:dyDescent="0.25">
      <c r="A44" t="s">
        <v>83</v>
      </c>
      <c r="B44">
        <v>910</v>
      </c>
      <c r="D44" t="str">
        <f t="shared" si="0"/>
        <v>Missing</v>
      </c>
      <c r="E44">
        <v>733</v>
      </c>
      <c r="F44" t="s">
        <v>64</v>
      </c>
      <c r="G44" t="s">
        <v>22</v>
      </c>
      <c r="H44" t="s">
        <v>84</v>
      </c>
      <c r="I44">
        <v>3</v>
      </c>
      <c r="J44">
        <v>1374</v>
      </c>
    </row>
    <row r="45" spans="1:10" x14ac:dyDescent="0.25">
      <c r="A45" t="s">
        <v>85</v>
      </c>
      <c r="B45">
        <v>315</v>
      </c>
      <c r="C45">
        <v>48</v>
      </c>
      <c r="D45" t="str">
        <f t="shared" si="0"/>
        <v>Low</v>
      </c>
      <c r="E45">
        <v>256</v>
      </c>
      <c r="F45" t="s">
        <v>64</v>
      </c>
      <c r="G45" t="s">
        <v>86</v>
      </c>
      <c r="H45">
        <v>21.3</v>
      </c>
      <c r="I45">
        <v>3</v>
      </c>
      <c r="J45">
        <v>1022</v>
      </c>
    </row>
    <row r="46" spans="1:10" x14ac:dyDescent="0.25">
      <c r="A46" t="s">
        <v>87</v>
      </c>
      <c r="B46">
        <v>426</v>
      </c>
      <c r="C46">
        <v>95</v>
      </c>
      <c r="D46" t="str">
        <f t="shared" si="0"/>
        <v>High</v>
      </c>
      <c r="E46">
        <v>305</v>
      </c>
      <c r="F46" t="s">
        <v>26</v>
      </c>
      <c r="G46" t="s">
        <v>29</v>
      </c>
      <c r="H46">
        <v>33</v>
      </c>
      <c r="I46">
        <v>4</v>
      </c>
      <c r="J46">
        <v>1247</v>
      </c>
    </row>
    <row r="47" spans="1:10" x14ac:dyDescent="0.25">
      <c r="A47" t="s">
        <v>88</v>
      </c>
      <c r="B47">
        <v>669</v>
      </c>
      <c r="C47">
        <v>145</v>
      </c>
      <c r="D47" t="str">
        <f t="shared" si="0"/>
        <v>Medium</v>
      </c>
      <c r="E47">
        <v>511</v>
      </c>
      <c r="F47" t="s">
        <v>35</v>
      </c>
      <c r="G47" t="s">
        <v>89</v>
      </c>
      <c r="H47">
        <v>22.1</v>
      </c>
      <c r="I47">
        <v>6</v>
      </c>
      <c r="J47">
        <v>1083</v>
      </c>
    </row>
    <row r="48" spans="1:10" x14ac:dyDescent="0.25">
      <c r="A48" t="s">
        <v>90</v>
      </c>
      <c r="B48">
        <v>714</v>
      </c>
      <c r="C48">
        <v>97</v>
      </c>
      <c r="D48" t="str">
        <f t="shared" si="0"/>
        <v>High</v>
      </c>
      <c r="E48">
        <v>579</v>
      </c>
      <c r="F48" t="s">
        <v>35</v>
      </c>
      <c r="G48" t="s">
        <v>11</v>
      </c>
      <c r="H48">
        <v>20.7</v>
      </c>
      <c r="I48">
        <v>1</v>
      </c>
      <c r="J48">
        <v>1134</v>
      </c>
    </row>
    <row r="49" spans="1:10" x14ac:dyDescent="0.25">
      <c r="A49" t="s">
        <v>91</v>
      </c>
      <c r="B49">
        <v>461</v>
      </c>
      <c r="C49">
        <v>81</v>
      </c>
      <c r="D49" t="str">
        <f t="shared" si="0"/>
        <v>High</v>
      </c>
      <c r="E49">
        <v>372</v>
      </c>
      <c r="F49" t="s">
        <v>26</v>
      </c>
      <c r="G49" t="s">
        <v>29</v>
      </c>
      <c r="H49">
        <v>13.6</v>
      </c>
      <c r="I49">
        <v>3</v>
      </c>
      <c r="J49">
        <v>1191</v>
      </c>
    </row>
    <row r="50" spans="1:10" x14ac:dyDescent="0.25">
      <c r="A50" t="s">
        <v>92</v>
      </c>
      <c r="B50">
        <v>864</v>
      </c>
      <c r="C50">
        <v>85</v>
      </c>
      <c r="D50" t="str">
        <f t="shared" si="0"/>
        <v>High</v>
      </c>
      <c r="E50">
        <v>731</v>
      </c>
      <c r="F50" t="s">
        <v>35</v>
      </c>
      <c r="G50" t="s">
        <v>39</v>
      </c>
      <c r="H50">
        <v>7</v>
      </c>
      <c r="I50">
        <v>2</v>
      </c>
      <c r="J50" t="s">
        <v>93</v>
      </c>
    </row>
    <row r="51" spans="1:10" x14ac:dyDescent="0.25">
      <c r="A51" t="s">
        <v>94</v>
      </c>
      <c r="B51">
        <v>528</v>
      </c>
      <c r="C51">
        <v>79</v>
      </c>
      <c r="D51" t="str">
        <f t="shared" si="0"/>
        <v>High</v>
      </c>
      <c r="E51">
        <v>419</v>
      </c>
      <c r="F51" t="s">
        <v>41</v>
      </c>
      <c r="G51" t="s">
        <v>95</v>
      </c>
      <c r="H51">
        <v>1.5</v>
      </c>
      <c r="I51">
        <v>3</v>
      </c>
      <c r="J51">
        <v>970</v>
      </c>
    </row>
    <row r="52" spans="1:10" x14ac:dyDescent="0.25">
      <c r="A52" t="s">
        <v>96</v>
      </c>
      <c r="B52">
        <v>647</v>
      </c>
      <c r="C52">
        <v>126</v>
      </c>
      <c r="D52" t="str">
        <f t="shared" si="0"/>
        <v>Medium</v>
      </c>
      <c r="E52">
        <v>514</v>
      </c>
      <c r="F52" t="s">
        <v>41</v>
      </c>
      <c r="G52" t="s">
        <v>11</v>
      </c>
      <c r="H52">
        <v>15.9</v>
      </c>
      <c r="I52">
        <v>6</v>
      </c>
      <c r="J52">
        <v>1292</v>
      </c>
    </row>
    <row r="53" spans="1:10" x14ac:dyDescent="0.25">
      <c r="A53" t="s">
        <v>97</v>
      </c>
      <c r="B53">
        <v>687</v>
      </c>
      <c r="C53">
        <v>45</v>
      </c>
      <c r="D53" t="str">
        <f t="shared" si="0"/>
        <v>Low</v>
      </c>
      <c r="E53">
        <v>640</v>
      </c>
      <c r="G53" t="s">
        <v>29</v>
      </c>
      <c r="H53">
        <v>6.4</v>
      </c>
      <c r="I53">
        <v>1</v>
      </c>
      <c r="J53">
        <v>1231</v>
      </c>
    </row>
    <row r="54" spans="1:10" x14ac:dyDescent="0.25">
      <c r="A54" t="s">
        <v>98</v>
      </c>
      <c r="B54">
        <v>529</v>
      </c>
      <c r="C54">
        <v>52</v>
      </c>
      <c r="D54" t="str">
        <f t="shared" si="0"/>
        <v>High</v>
      </c>
      <c r="E54">
        <v>443</v>
      </c>
      <c r="F54" t="s">
        <v>99</v>
      </c>
      <c r="G54" t="s">
        <v>42</v>
      </c>
      <c r="H54">
        <v>12.9</v>
      </c>
      <c r="I54">
        <v>2</v>
      </c>
      <c r="J54">
        <v>1964</v>
      </c>
    </row>
    <row r="55" spans="1:10" x14ac:dyDescent="0.25">
      <c r="A55" t="s">
        <v>100</v>
      </c>
      <c r="B55">
        <v>723</v>
      </c>
      <c r="D55" t="str">
        <f t="shared" si="0"/>
        <v>Missing</v>
      </c>
      <c r="E55">
        <v>563</v>
      </c>
      <c r="F55" t="s">
        <v>35</v>
      </c>
      <c r="G55" t="s">
        <v>39</v>
      </c>
      <c r="H55">
        <v>19</v>
      </c>
      <c r="I55">
        <v>4</v>
      </c>
      <c r="J55">
        <v>1233</v>
      </c>
    </row>
    <row r="56" spans="1:10" x14ac:dyDescent="0.25">
      <c r="A56" t="s">
        <v>101</v>
      </c>
      <c r="B56">
        <v>1190</v>
      </c>
      <c r="C56">
        <v>180</v>
      </c>
      <c r="D56" t="str">
        <f t="shared" si="0"/>
        <v>Medium</v>
      </c>
      <c r="E56">
        <v>940</v>
      </c>
      <c r="F56" t="s">
        <v>16</v>
      </c>
      <c r="G56" t="s">
        <v>22</v>
      </c>
      <c r="H56">
        <v>24.8</v>
      </c>
      <c r="I56">
        <v>2</v>
      </c>
      <c r="J56">
        <v>1493</v>
      </c>
    </row>
    <row r="57" spans="1:10" x14ac:dyDescent="0.25">
      <c r="A57" t="s">
        <v>102</v>
      </c>
      <c r="B57">
        <v>955</v>
      </c>
      <c r="C57">
        <v>96</v>
      </c>
      <c r="D57" t="str">
        <f t="shared" si="0"/>
        <v>High</v>
      </c>
      <c r="E57">
        <v>835</v>
      </c>
      <c r="F57" t="s">
        <v>35</v>
      </c>
      <c r="G57" t="s">
        <v>95</v>
      </c>
      <c r="H57">
        <v>27.5</v>
      </c>
      <c r="I57">
        <v>2</v>
      </c>
      <c r="J57">
        <v>974</v>
      </c>
    </row>
    <row r="58" spans="1:10" x14ac:dyDescent="0.25">
      <c r="A58" t="s">
        <v>103</v>
      </c>
      <c r="B58">
        <v>395</v>
      </c>
      <c r="C58">
        <v>77</v>
      </c>
      <c r="D58" t="str">
        <f t="shared" si="0"/>
        <v>High</v>
      </c>
      <c r="E58">
        <v>288</v>
      </c>
      <c r="F58" t="s">
        <v>104</v>
      </c>
      <c r="G58" t="s">
        <v>11</v>
      </c>
      <c r="H58">
        <v>24.2</v>
      </c>
      <c r="I58">
        <v>7</v>
      </c>
      <c r="J58">
        <v>1177</v>
      </c>
    </row>
    <row r="59" spans="1:10" x14ac:dyDescent="0.25">
      <c r="A59" t="s">
        <v>105</v>
      </c>
      <c r="B59">
        <v>826</v>
      </c>
      <c r="C59">
        <v>114</v>
      </c>
      <c r="D59" t="str">
        <f t="shared" si="0"/>
        <v>Medium</v>
      </c>
      <c r="E59">
        <v>688</v>
      </c>
      <c r="F59" t="s">
        <v>16</v>
      </c>
      <c r="G59" t="s">
        <v>11</v>
      </c>
      <c r="H59">
        <v>7.8</v>
      </c>
      <c r="I59">
        <v>4</v>
      </c>
      <c r="J59">
        <v>838</v>
      </c>
    </row>
    <row r="60" spans="1:10" x14ac:dyDescent="0.25">
      <c r="A60" t="s">
        <v>106</v>
      </c>
      <c r="B60">
        <v>244</v>
      </c>
      <c r="C60">
        <v>5</v>
      </c>
      <c r="D60" t="str">
        <f t="shared" si="0"/>
        <v>Low</v>
      </c>
      <c r="E60">
        <v>235</v>
      </c>
      <c r="F60" t="s">
        <v>35</v>
      </c>
      <c r="G60" t="s">
        <v>39</v>
      </c>
      <c r="H60">
        <v>15.3</v>
      </c>
      <c r="I60">
        <v>1</v>
      </c>
      <c r="J60">
        <v>1518</v>
      </c>
    </row>
    <row r="61" spans="1:10" x14ac:dyDescent="0.25">
      <c r="A61" t="s">
        <v>107</v>
      </c>
      <c r="B61">
        <v>423</v>
      </c>
      <c r="C61">
        <v>36</v>
      </c>
      <c r="D61" t="str">
        <f t="shared" si="0"/>
        <v>Low</v>
      </c>
      <c r="E61">
        <v>372</v>
      </c>
      <c r="F61" t="s">
        <v>108</v>
      </c>
      <c r="G61" t="s">
        <v>29</v>
      </c>
      <c r="H61">
        <v>6</v>
      </c>
      <c r="I61">
        <v>1</v>
      </c>
      <c r="J61">
        <v>1202</v>
      </c>
    </row>
    <row r="62" spans="1:10" x14ac:dyDescent="0.25">
      <c r="A62" t="s">
        <v>109</v>
      </c>
      <c r="B62">
        <v>254</v>
      </c>
      <c r="C62">
        <v>30</v>
      </c>
      <c r="D62" t="str">
        <f t="shared" si="0"/>
        <v>Low</v>
      </c>
      <c r="E62">
        <v>222</v>
      </c>
      <c r="F62" t="s">
        <v>16</v>
      </c>
      <c r="G62" t="s">
        <v>14</v>
      </c>
      <c r="H62">
        <v>7</v>
      </c>
      <c r="I62">
        <v>2</v>
      </c>
      <c r="J62">
        <v>1082</v>
      </c>
    </row>
    <row r="63" spans="1:10" x14ac:dyDescent="0.25">
      <c r="A63" t="s">
        <v>110</v>
      </c>
      <c r="B63">
        <v>408</v>
      </c>
      <c r="C63">
        <v>86</v>
      </c>
      <c r="D63" t="str">
        <f t="shared" si="0"/>
        <v>High</v>
      </c>
      <c r="E63">
        <v>313</v>
      </c>
      <c r="F63" t="s">
        <v>26</v>
      </c>
      <c r="G63" t="s">
        <v>22</v>
      </c>
      <c r="H63">
        <v>35.4</v>
      </c>
      <c r="I63">
        <v>3</v>
      </c>
      <c r="J63">
        <v>1261</v>
      </c>
    </row>
    <row r="64" spans="1:10" x14ac:dyDescent="0.25">
      <c r="A64" t="s">
        <v>111</v>
      </c>
      <c r="B64">
        <v>585</v>
      </c>
      <c r="C64">
        <v>60</v>
      </c>
      <c r="D64" t="str">
        <f t="shared" si="0"/>
        <v>High</v>
      </c>
      <c r="E64">
        <v>480</v>
      </c>
      <c r="F64" t="s">
        <v>16</v>
      </c>
      <c r="G64" t="s">
        <v>11</v>
      </c>
      <c r="H64">
        <v>29.7</v>
      </c>
      <c r="I64">
        <v>1</v>
      </c>
      <c r="J64">
        <v>900</v>
      </c>
    </row>
    <row r="65" spans="1:10" x14ac:dyDescent="0.25">
      <c r="A65" t="s">
        <v>112</v>
      </c>
      <c r="B65">
        <v>251</v>
      </c>
      <c r="D65" t="str">
        <f t="shared" si="0"/>
        <v>Missing</v>
      </c>
      <c r="E65">
        <v>207</v>
      </c>
      <c r="F65" t="s">
        <v>108</v>
      </c>
      <c r="G65" t="s">
        <v>22</v>
      </c>
      <c r="H65">
        <v>23.2</v>
      </c>
      <c r="I65">
        <v>2</v>
      </c>
      <c r="J65">
        <v>619</v>
      </c>
    </row>
    <row r="66" spans="1:10" x14ac:dyDescent="0.25">
      <c r="A66" t="s">
        <v>113</v>
      </c>
      <c r="B66">
        <v>443</v>
      </c>
      <c r="C66">
        <v>34</v>
      </c>
      <c r="D66" t="str">
        <f t="shared" si="0"/>
        <v>Low</v>
      </c>
      <c r="E66">
        <v>406</v>
      </c>
      <c r="F66" t="s">
        <v>99</v>
      </c>
      <c r="G66" t="s">
        <v>39</v>
      </c>
      <c r="H66">
        <v>19.399999999999999</v>
      </c>
      <c r="I66">
        <v>2</v>
      </c>
      <c r="J66">
        <v>1573</v>
      </c>
    </row>
    <row r="67" spans="1:10" x14ac:dyDescent="0.25">
      <c r="A67" t="s">
        <v>114</v>
      </c>
      <c r="B67">
        <v>613</v>
      </c>
      <c r="C67" t="s">
        <v>115</v>
      </c>
      <c r="D67" t="str">
        <f t="shared" ref="D67:D130" si="1">IF(C67="","Missing",IF(C67&lt;50,"Low",IF(C67&gt;=100,"Medium","High")))</f>
        <v>Medium</v>
      </c>
      <c r="E67">
        <v>488</v>
      </c>
      <c r="F67" t="s">
        <v>26</v>
      </c>
      <c r="G67" t="s">
        <v>22</v>
      </c>
      <c r="H67">
        <v>9.9</v>
      </c>
      <c r="I67">
        <v>2</v>
      </c>
      <c r="J67">
        <v>1369</v>
      </c>
    </row>
    <row r="68" spans="1:10" x14ac:dyDescent="0.25">
      <c r="A68" t="s">
        <v>116</v>
      </c>
      <c r="B68">
        <v>246</v>
      </c>
      <c r="C68">
        <v>18</v>
      </c>
      <c r="D68" t="str">
        <f t="shared" si="1"/>
        <v>Low</v>
      </c>
      <c r="E68">
        <v>220</v>
      </c>
      <c r="F68" t="s">
        <v>16</v>
      </c>
      <c r="G68" t="s">
        <v>59</v>
      </c>
      <c r="H68">
        <v>9.3000000000000007</v>
      </c>
      <c r="I68">
        <v>1</v>
      </c>
      <c r="J68">
        <v>1347</v>
      </c>
    </row>
    <row r="69" spans="1:10" x14ac:dyDescent="0.25">
      <c r="A69" t="s">
        <v>117</v>
      </c>
      <c r="B69">
        <v>289</v>
      </c>
      <c r="C69">
        <v>23</v>
      </c>
      <c r="D69" t="str">
        <f t="shared" si="1"/>
        <v>Low</v>
      </c>
      <c r="E69">
        <v>253</v>
      </c>
      <c r="F69" t="s">
        <v>16</v>
      </c>
      <c r="G69" t="s">
        <v>39</v>
      </c>
      <c r="H69">
        <v>10.3</v>
      </c>
      <c r="I69">
        <v>1</v>
      </c>
      <c r="J69" t="s">
        <v>118</v>
      </c>
    </row>
    <row r="70" spans="1:10" x14ac:dyDescent="0.25">
      <c r="A70" t="s">
        <v>119</v>
      </c>
      <c r="B70">
        <v>984</v>
      </c>
      <c r="D70" t="str">
        <f t="shared" si="1"/>
        <v>Missing</v>
      </c>
      <c r="E70">
        <v>873</v>
      </c>
      <c r="F70" t="s">
        <v>35</v>
      </c>
      <c r="G70" t="s">
        <v>29</v>
      </c>
      <c r="H70">
        <v>13.7</v>
      </c>
      <c r="I70">
        <v>1</v>
      </c>
      <c r="J70">
        <v>1294</v>
      </c>
    </row>
    <row r="71" spans="1:10" x14ac:dyDescent="0.25">
      <c r="A71" t="s">
        <v>120</v>
      </c>
      <c r="B71" t="s">
        <v>121</v>
      </c>
      <c r="C71" t="s">
        <v>122</v>
      </c>
      <c r="D71" t="str">
        <f t="shared" si="1"/>
        <v>Medium</v>
      </c>
      <c r="E71">
        <v>520</v>
      </c>
      <c r="F71" t="s">
        <v>123</v>
      </c>
      <c r="G71" t="s">
        <v>29</v>
      </c>
      <c r="H71">
        <v>13.3</v>
      </c>
      <c r="I71">
        <v>1</v>
      </c>
      <c r="J71">
        <v>762</v>
      </c>
    </row>
    <row r="72" spans="1:10" x14ac:dyDescent="0.25">
      <c r="A72" t="s">
        <v>124</v>
      </c>
      <c r="B72">
        <v>2132</v>
      </c>
      <c r="C72">
        <v>486</v>
      </c>
      <c r="D72" t="str">
        <f t="shared" si="1"/>
        <v>Medium</v>
      </c>
      <c r="E72">
        <v>1588</v>
      </c>
      <c r="F72" t="s">
        <v>26</v>
      </c>
      <c r="G72" t="s">
        <v>11</v>
      </c>
      <c r="H72">
        <v>56</v>
      </c>
      <c r="I72">
        <v>2</v>
      </c>
      <c r="J72">
        <v>864</v>
      </c>
    </row>
    <row r="73" spans="1:10" x14ac:dyDescent="0.25">
      <c r="A73" t="s">
        <v>125</v>
      </c>
      <c r="B73">
        <v>307</v>
      </c>
      <c r="C73">
        <v>23</v>
      </c>
      <c r="D73" t="str">
        <f t="shared" si="1"/>
        <v>Low</v>
      </c>
      <c r="E73">
        <v>260</v>
      </c>
      <c r="F73" t="s">
        <v>64</v>
      </c>
      <c r="G73" t="s">
        <v>126</v>
      </c>
      <c r="H73">
        <v>1.8</v>
      </c>
      <c r="I73">
        <v>1</v>
      </c>
      <c r="J73">
        <v>795</v>
      </c>
    </row>
    <row r="74" spans="1:10" x14ac:dyDescent="0.25">
      <c r="A74" t="s">
        <v>127</v>
      </c>
      <c r="B74">
        <v>860</v>
      </c>
      <c r="C74">
        <v>96</v>
      </c>
      <c r="D74" t="str">
        <f t="shared" si="1"/>
        <v>High</v>
      </c>
      <c r="E74">
        <v>695</v>
      </c>
      <c r="F74" t="s">
        <v>35</v>
      </c>
      <c r="G74" t="s">
        <v>22</v>
      </c>
      <c r="H74">
        <v>15.6</v>
      </c>
      <c r="I74">
        <v>3</v>
      </c>
      <c r="J74">
        <v>953</v>
      </c>
    </row>
    <row r="75" spans="1:10" x14ac:dyDescent="0.25">
      <c r="A75" t="s">
        <v>128</v>
      </c>
      <c r="B75">
        <v>436</v>
      </c>
      <c r="C75">
        <v>83</v>
      </c>
      <c r="D75" t="str">
        <f t="shared" si="1"/>
        <v>High</v>
      </c>
      <c r="E75">
        <v>347</v>
      </c>
      <c r="F75" t="s">
        <v>26</v>
      </c>
      <c r="G75" t="s">
        <v>22</v>
      </c>
      <c r="H75">
        <v>10.8</v>
      </c>
      <c r="I75" t="s">
        <v>129</v>
      </c>
      <c r="J75">
        <v>1388</v>
      </c>
    </row>
    <row r="76" spans="1:10" x14ac:dyDescent="0.25">
      <c r="A76" t="s">
        <v>130</v>
      </c>
      <c r="C76">
        <v>40</v>
      </c>
      <c r="D76" t="str">
        <f t="shared" si="1"/>
        <v>Low</v>
      </c>
      <c r="E76">
        <v>247</v>
      </c>
      <c r="F76" t="s">
        <v>16</v>
      </c>
      <c r="G76" t="s">
        <v>39</v>
      </c>
      <c r="H76">
        <v>26.8</v>
      </c>
      <c r="I76">
        <v>3</v>
      </c>
      <c r="J76">
        <v>1318</v>
      </c>
    </row>
    <row r="77" spans="1:10" x14ac:dyDescent="0.25">
      <c r="A77" t="s">
        <v>131</v>
      </c>
      <c r="B77">
        <v>353</v>
      </c>
      <c r="C77">
        <v>44</v>
      </c>
      <c r="D77" t="str">
        <f t="shared" si="1"/>
        <v>Low</v>
      </c>
      <c r="E77">
        <v>295</v>
      </c>
      <c r="F77" t="s">
        <v>16</v>
      </c>
      <c r="G77" t="s">
        <v>20</v>
      </c>
      <c r="H77">
        <v>23.1</v>
      </c>
      <c r="I77">
        <v>1</v>
      </c>
      <c r="J77">
        <v>1317</v>
      </c>
    </row>
    <row r="78" spans="1:10" x14ac:dyDescent="0.25">
      <c r="A78" t="s">
        <v>132</v>
      </c>
      <c r="B78">
        <v>733</v>
      </c>
      <c r="C78">
        <v>129</v>
      </c>
      <c r="D78" t="str">
        <f t="shared" si="1"/>
        <v>Medium</v>
      </c>
      <c r="E78">
        <v>561</v>
      </c>
      <c r="F78" t="s">
        <v>16</v>
      </c>
      <c r="G78" t="s">
        <v>95</v>
      </c>
      <c r="H78">
        <v>14.3</v>
      </c>
      <c r="I78">
        <v>5</v>
      </c>
      <c r="J78">
        <v>787</v>
      </c>
    </row>
    <row r="79" spans="1:10" x14ac:dyDescent="0.25">
      <c r="A79" t="s">
        <v>133</v>
      </c>
      <c r="B79">
        <v>770</v>
      </c>
      <c r="C79">
        <v>111</v>
      </c>
      <c r="D79" t="str">
        <f t="shared" si="1"/>
        <v>Medium</v>
      </c>
      <c r="E79">
        <v>602</v>
      </c>
      <c r="F79" t="s">
        <v>16</v>
      </c>
      <c r="G79" t="s">
        <v>86</v>
      </c>
      <c r="H79">
        <v>22.2</v>
      </c>
      <c r="I79">
        <v>4</v>
      </c>
      <c r="J79">
        <v>1213</v>
      </c>
    </row>
    <row r="80" spans="1:10" x14ac:dyDescent="0.25">
      <c r="A80" t="s">
        <v>134</v>
      </c>
      <c r="B80">
        <v>484</v>
      </c>
      <c r="C80">
        <v>50</v>
      </c>
      <c r="D80" t="str">
        <f t="shared" si="1"/>
        <v>High</v>
      </c>
      <c r="E80">
        <v>405</v>
      </c>
      <c r="F80" t="s">
        <v>35</v>
      </c>
      <c r="G80" t="s">
        <v>89</v>
      </c>
      <c r="H80">
        <v>45.2</v>
      </c>
      <c r="I80">
        <v>1</v>
      </c>
      <c r="J80">
        <v>1173</v>
      </c>
    </row>
    <row r="81" spans="1:10" x14ac:dyDescent="0.25">
      <c r="A81" t="s">
        <v>135</v>
      </c>
      <c r="B81">
        <v>459</v>
      </c>
      <c r="C81">
        <v>67</v>
      </c>
      <c r="D81" t="str">
        <f t="shared" si="1"/>
        <v>High</v>
      </c>
      <c r="E81">
        <v>391</v>
      </c>
      <c r="F81" t="s">
        <v>136</v>
      </c>
      <c r="G81" t="s">
        <v>14</v>
      </c>
      <c r="H81">
        <v>12.8</v>
      </c>
      <c r="I81">
        <v>1</v>
      </c>
      <c r="J81">
        <v>1289</v>
      </c>
    </row>
    <row r="82" spans="1:10" x14ac:dyDescent="0.25">
      <c r="A82" t="s">
        <v>137</v>
      </c>
      <c r="B82">
        <v>542</v>
      </c>
      <c r="C82">
        <v>91</v>
      </c>
      <c r="D82" t="str">
        <f t="shared" si="1"/>
        <v>High</v>
      </c>
      <c r="E82">
        <v>420</v>
      </c>
      <c r="F82" t="s">
        <v>26</v>
      </c>
      <c r="G82" t="s">
        <v>89</v>
      </c>
      <c r="H82">
        <v>31.2</v>
      </c>
      <c r="I82">
        <v>1</v>
      </c>
      <c r="J82">
        <v>796</v>
      </c>
    </row>
    <row r="83" spans="1:10" x14ac:dyDescent="0.25">
      <c r="A83" t="s">
        <v>138</v>
      </c>
      <c r="B83">
        <v>209</v>
      </c>
      <c r="C83">
        <v>15</v>
      </c>
      <c r="D83" t="str">
        <f t="shared" si="1"/>
        <v>Low</v>
      </c>
      <c r="E83">
        <v>181</v>
      </c>
      <c r="F83" t="s">
        <v>139</v>
      </c>
      <c r="G83" t="s">
        <v>39</v>
      </c>
      <c r="H83">
        <v>9.9</v>
      </c>
      <c r="I83">
        <v>4</v>
      </c>
      <c r="J83">
        <v>1121</v>
      </c>
    </row>
    <row r="84" spans="1:10" x14ac:dyDescent="0.25">
      <c r="A84" t="s">
        <v>140</v>
      </c>
      <c r="B84">
        <v>281</v>
      </c>
      <c r="C84">
        <v>52</v>
      </c>
      <c r="D84" t="str">
        <f t="shared" si="1"/>
        <v>High</v>
      </c>
      <c r="E84">
        <v>209</v>
      </c>
      <c r="F84" t="s">
        <v>16</v>
      </c>
      <c r="G84" t="s">
        <v>86</v>
      </c>
      <c r="H84" t="s">
        <v>141</v>
      </c>
      <c r="I84">
        <v>4</v>
      </c>
      <c r="J84">
        <v>655</v>
      </c>
    </row>
    <row r="85" spans="1:10" x14ac:dyDescent="0.25">
      <c r="A85" t="s">
        <v>142</v>
      </c>
      <c r="B85">
        <v>487</v>
      </c>
      <c r="C85">
        <v>49</v>
      </c>
      <c r="D85" t="str">
        <f t="shared" si="1"/>
        <v>Low</v>
      </c>
      <c r="E85">
        <v>434</v>
      </c>
      <c r="F85" t="s">
        <v>16</v>
      </c>
      <c r="G85" t="s">
        <v>39</v>
      </c>
      <c r="H85">
        <v>8.8000000000000007</v>
      </c>
      <c r="I85">
        <v>3</v>
      </c>
      <c r="J85">
        <v>1280</v>
      </c>
    </row>
    <row r="86" spans="1:10" x14ac:dyDescent="0.25">
      <c r="A86" t="s">
        <v>143</v>
      </c>
      <c r="B86">
        <v>467</v>
      </c>
      <c r="C86">
        <v>83</v>
      </c>
      <c r="D86" t="str">
        <f t="shared" si="1"/>
        <v>High</v>
      </c>
      <c r="E86">
        <v>355</v>
      </c>
      <c r="F86" t="s">
        <v>16</v>
      </c>
      <c r="G86" t="s">
        <v>39</v>
      </c>
      <c r="H86">
        <v>24.8</v>
      </c>
      <c r="I86">
        <v>5</v>
      </c>
      <c r="J86">
        <v>1192</v>
      </c>
    </row>
    <row r="87" spans="1:10" x14ac:dyDescent="0.25">
      <c r="A87" t="s">
        <v>144</v>
      </c>
      <c r="B87">
        <v>865</v>
      </c>
      <c r="C87">
        <v>119</v>
      </c>
      <c r="D87" t="str">
        <f t="shared" si="1"/>
        <v>Medium</v>
      </c>
      <c r="E87">
        <v>718</v>
      </c>
      <c r="F87" t="s">
        <v>16</v>
      </c>
      <c r="G87" t="s">
        <v>11</v>
      </c>
      <c r="H87">
        <v>14</v>
      </c>
      <c r="I87">
        <v>1</v>
      </c>
      <c r="J87">
        <v>1129</v>
      </c>
    </row>
    <row r="88" spans="1:10" x14ac:dyDescent="0.25">
      <c r="A88" t="s">
        <v>145</v>
      </c>
      <c r="B88">
        <v>495</v>
      </c>
      <c r="C88">
        <v>79</v>
      </c>
      <c r="D88" t="str">
        <f t="shared" si="1"/>
        <v>High</v>
      </c>
      <c r="E88">
        <v>384</v>
      </c>
      <c r="F88" t="s">
        <v>41</v>
      </c>
      <c r="G88" t="s">
        <v>126</v>
      </c>
      <c r="H88">
        <v>10.5</v>
      </c>
      <c r="I88">
        <v>2</v>
      </c>
      <c r="J88">
        <v>1044</v>
      </c>
    </row>
    <row r="89" spans="1:10" x14ac:dyDescent="0.25">
      <c r="A89" t="s">
        <v>146</v>
      </c>
      <c r="B89">
        <v>839</v>
      </c>
      <c r="C89" t="s">
        <v>147</v>
      </c>
      <c r="D89" t="str">
        <f t="shared" si="1"/>
        <v>Medium</v>
      </c>
      <c r="E89">
        <v>690</v>
      </c>
      <c r="F89" t="s">
        <v>26</v>
      </c>
      <c r="G89" t="s">
        <v>11</v>
      </c>
      <c r="H89">
        <v>10.4</v>
      </c>
      <c r="I89">
        <v>3</v>
      </c>
      <c r="J89">
        <v>775</v>
      </c>
    </row>
    <row r="90" spans="1:10" x14ac:dyDescent="0.25">
      <c r="A90" t="s">
        <v>148</v>
      </c>
      <c r="B90">
        <v>466</v>
      </c>
      <c r="C90">
        <v>75</v>
      </c>
      <c r="D90" t="str">
        <f t="shared" si="1"/>
        <v>High</v>
      </c>
      <c r="E90">
        <v>355</v>
      </c>
      <c r="F90" t="s">
        <v>139</v>
      </c>
      <c r="G90" t="s">
        <v>20</v>
      </c>
      <c r="H90">
        <v>48.3</v>
      </c>
      <c r="J90">
        <v>1420</v>
      </c>
    </row>
    <row r="91" spans="1:10" x14ac:dyDescent="0.25">
      <c r="A91" t="s">
        <v>149</v>
      </c>
      <c r="B91">
        <v>671</v>
      </c>
      <c r="C91">
        <v>67</v>
      </c>
      <c r="D91" t="str">
        <f t="shared" si="1"/>
        <v>High</v>
      </c>
      <c r="E91">
        <v>600</v>
      </c>
      <c r="F91" t="s">
        <v>16</v>
      </c>
      <c r="G91" t="s">
        <v>11</v>
      </c>
      <c r="H91" t="s">
        <v>84</v>
      </c>
      <c r="I91">
        <v>2</v>
      </c>
      <c r="J91">
        <v>1368</v>
      </c>
    </row>
    <row r="92" spans="1:10" x14ac:dyDescent="0.25">
      <c r="A92" t="s">
        <v>150</v>
      </c>
      <c r="B92">
        <v>552</v>
      </c>
      <c r="C92">
        <v>48</v>
      </c>
      <c r="D92" t="str">
        <f t="shared" si="1"/>
        <v>Low</v>
      </c>
      <c r="F92" t="s">
        <v>35</v>
      </c>
      <c r="G92" t="s">
        <v>14</v>
      </c>
      <c r="H92">
        <v>18.899999999999999</v>
      </c>
      <c r="I92">
        <v>3</v>
      </c>
      <c r="J92">
        <v>957</v>
      </c>
    </row>
    <row r="93" spans="1:10" x14ac:dyDescent="0.25">
      <c r="A93" t="s">
        <v>151</v>
      </c>
      <c r="B93">
        <v>850</v>
      </c>
      <c r="C93">
        <v>110</v>
      </c>
      <c r="D93" t="str">
        <f t="shared" si="1"/>
        <v>Medium</v>
      </c>
      <c r="E93">
        <v>696</v>
      </c>
      <c r="F93" t="s">
        <v>41</v>
      </c>
      <c r="G93" t="s">
        <v>22</v>
      </c>
      <c r="H93">
        <v>12.2</v>
      </c>
      <c r="I93">
        <v>3</v>
      </c>
      <c r="J93">
        <v>1022</v>
      </c>
    </row>
    <row r="94" spans="1:10" x14ac:dyDescent="0.25">
      <c r="A94" t="s">
        <v>152</v>
      </c>
      <c r="B94">
        <v>414</v>
      </c>
      <c r="C94">
        <v>57</v>
      </c>
      <c r="D94" t="str">
        <f t="shared" si="1"/>
        <v>High</v>
      </c>
      <c r="E94">
        <v>352</v>
      </c>
      <c r="F94" t="s">
        <v>153</v>
      </c>
      <c r="G94" t="s">
        <v>11</v>
      </c>
      <c r="H94">
        <v>15.5</v>
      </c>
      <c r="I94">
        <v>3</v>
      </c>
      <c r="J94">
        <v>1251</v>
      </c>
    </row>
    <row r="95" spans="1:10" x14ac:dyDescent="0.25">
      <c r="A95" t="s">
        <v>154</v>
      </c>
      <c r="B95">
        <v>332</v>
      </c>
      <c r="C95">
        <v>62</v>
      </c>
      <c r="D95" t="str">
        <f t="shared" si="1"/>
        <v>High</v>
      </c>
      <c r="E95">
        <v>257</v>
      </c>
      <c r="F95" t="s">
        <v>26</v>
      </c>
      <c r="G95" t="s">
        <v>95</v>
      </c>
      <c r="H95">
        <v>40</v>
      </c>
      <c r="I95">
        <v>2</v>
      </c>
      <c r="J95">
        <v>1302</v>
      </c>
    </row>
    <row r="96" spans="1:10" x14ac:dyDescent="0.25">
      <c r="A96" t="s">
        <v>155</v>
      </c>
      <c r="B96">
        <v>1290</v>
      </c>
      <c r="C96">
        <v>201</v>
      </c>
      <c r="D96" t="str">
        <f t="shared" si="1"/>
        <v>Medium</v>
      </c>
      <c r="E96">
        <v>1032</v>
      </c>
      <c r="F96" t="s">
        <v>26</v>
      </c>
      <c r="G96" t="s">
        <v>11</v>
      </c>
      <c r="I96">
        <v>3</v>
      </c>
      <c r="J96">
        <v>1151</v>
      </c>
    </row>
    <row r="97" spans="1:10" x14ac:dyDescent="0.25">
      <c r="A97" t="s">
        <v>156</v>
      </c>
      <c r="B97">
        <v>729</v>
      </c>
      <c r="C97">
        <v>60</v>
      </c>
      <c r="D97" t="str">
        <f t="shared" si="1"/>
        <v>High</v>
      </c>
      <c r="E97">
        <v>650</v>
      </c>
      <c r="F97" t="s">
        <v>108</v>
      </c>
      <c r="G97" t="s">
        <v>11</v>
      </c>
      <c r="H97">
        <v>9.5</v>
      </c>
      <c r="I97">
        <v>1</v>
      </c>
      <c r="J97">
        <v>999</v>
      </c>
    </row>
    <row r="98" spans="1:10" x14ac:dyDescent="0.25">
      <c r="A98" t="s">
        <v>157</v>
      </c>
      <c r="B98" t="s">
        <v>158</v>
      </c>
      <c r="C98">
        <v>82</v>
      </c>
      <c r="D98" t="str">
        <f t="shared" si="1"/>
        <v>High</v>
      </c>
      <c r="E98">
        <v>332</v>
      </c>
      <c r="F98" t="s">
        <v>153</v>
      </c>
      <c r="G98" t="s">
        <v>22</v>
      </c>
      <c r="H98">
        <v>35.200000000000003</v>
      </c>
      <c r="I98">
        <v>3</v>
      </c>
    </row>
    <row r="99" spans="1:10" x14ac:dyDescent="0.25">
      <c r="A99" t="s">
        <v>159</v>
      </c>
      <c r="B99">
        <v>192</v>
      </c>
      <c r="C99">
        <v>20</v>
      </c>
      <c r="D99" t="str">
        <f t="shared" si="1"/>
        <v>Low</v>
      </c>
      <c r="E99">
        <v>168</v>
      </c>
      <c r="F99" t="s">
        <v>16</v>
      </c>
      <c r="G99" t="s">
        <v>11</v>
      </c>
      <c r="H99">
        <v>10.5</v>
      </c>
      <c r="I99">
        <v>2</v>
      </c>
      <c r="J99">
        <v>1558</v>
      </c>
    </row>
    <row r="100" spans="1:10" x14ac:dyDescent="0.25">
      <c r="A100" t="s">
        <v>160</v>
      </c>
      <c r="B100">
        <v>832</v>
      </c>
      <c r="C100">
        <v>96</v>
      </c>
      <c r="D100" t="str">
        <f t="shared" si="1"/>
        <v>High</v>
      </c>
      <c r="E100">
        <v>706</v>
      </c>
      <c r="F100" t="s">
        <v>26</v>
      </c>
      <c r="G100" t="s">
        <v>11</v>
      </c>
      <c r="H100">
        <v>10</v>
      </c>
      <c r="I100">
        <v>1</v>
      </c>
      <c r="J100">
        <v>615</v>
      </c>
    </row>
    <row r="101" spans="1:10" x14ac:dyDescent="0.25">
      <c r="A101" t="s">
        <v>161</v>
      </c>
      <c r="B101">
        <v>1835</v>
      </c>
      <c r="C101">
        <v>411</v>
      </c>
      <c r="D101" t="str">
        <f t="shared" si="1"/>
        <v>Medium</v>
      </c>
      <c r="E101">
        <v>1388</v>
      </c>
      <c r="F101" t="s">
        <v>41</v>
      </c>
      <c r="G101" t="s">
        <v>29</v>
      </c>
      <c r="H101">
        <v>46.3</v>
      </c>
      <c r="I101">
        <v>4</v>
      </c>
      <c r="J101">
        <v>899</v>
      </c>
    </row>
    <row r="102" spans="1:10" x14ac:dyDescent="0.25">
      <c r="A102" t="s">
        <v>162</v>
      </c>
      <c r="B102">
        <v>1271</v>
      </c>
      <c r="C102">
        <v>127</v>
      </c>
      <c r="D102" t="str">
        <f t="shared" si="1"/>
        <v>Medium</v>
      </c>
      <c r="E102">
        <v>1068</v>
      </c>
      <c r="F102" t="s">
        <v>136</v>
      </c>
      <c r="G102" t="s">
        <v>11</v>
      </c>
      <c r="H102">
        <v>21</v>
      </c>
      <c r="I102">
        <v>1</v>
      </c>
      <c r="J102">
        <v>794</v>
      </c>
    </row>
    <row r="103" spans="1:10" x14ac:dyDescent="0.25">
      <c r="A103" t="s">
        <v>163</v>
      </c>
      <c r="B103">
        <v>654</v>
      </c>
      <c r="C103">
        <v>99</v>
      </c>
      <c r="D103" t="str">
        <f t="shared" si="1"/>
        <v>High</v>
      </c>
      <c r="E103">
        <v>546</v>
      </c>
      <c r="F103" t="s">
        <v>26</v>
      </c>
      <c r="G103" t="s">
        <v>39</v>
      </c>
      <c r="H103">
        <v>3.7</v>
      </c>
      <c r="I103">
        <v>3</v>
      </c>
      <c r="J103">
        <v>1284</v>
      </c>
    </row>
    <row r="104" spans="1:10" x14ac:dyDescent="0.25">
      <c r="A104" t="s">
        <v>164</v>
      </c>
      <c r="B104">
        <v>265</v>
      </c>
      <c r="C104">
        <v>47</v>
      </c>
      <c r="D104" t="str">
        <f t="shared" si="1"/>
        <v>Low</v>
      </c>
      <c r="E104">
        <v>217</v>
      </c>
      <c r="F104" t="s">
        <v>26</v>
      </c>
      <c r="G104" t="s">
        <v>22</v>
      </c>
      <c r="H104">
        <v>28</v>
      </c>
      <c r="I104">
        <v>2</v>
      </c>
      <c r="J104">
        <v>1521</v>
      </c>
    </row>
    <row r="105" spans="1:10" x14ac:dyDescent="0.25">
      <c r="A105" t="s">
        <v>165</v>
      </c>
      <c r="B105">
        <v>539</v>
      </c>
      <c r="C105">
        <v>52</v>
      </c>
      <c r="D105" t="str">
        <f t="shared" si="1"/>
        <v>High</v>
      </c>
      <c r="E105">
        <v>466</v>
      </c>
      <c r="F105" t="s">
        <v>35</v>
      </c>
      <c r="G105" t="s">
        <v>11</v>
      </c>
      <c r="H105">
        <v>15.5</v>
      </c>
      <c r="I105">
        <v>2</v>
      </c>
      <c r="J105">
        <v>1031</v>
      </c>
    </row>
    <row r="106" spans="1:10" x14ac:dyDescent="0.25">
      <c r="A106" t="s">
        <v>166</v>
      </c>
      <c r="B106">
        <v>357</v>
      </c>
      <c r="C106" t="s">
        <v>167</v>
      </c>
      <c r="D106" t="str">
        <f t="shared" si="1"/>
        <v>Medium</v>
      </c>
      <c r="E106">
        <v>300</v>
      </c>
      <c r="F106" t="s">
        <v>26</v>
      </c>
      <c r="G106" t="s">
        <v>39</v>
      </c>
      <c r="H106">
        <v>6.5</v>
      </c>
      <c r="I106">
        <v>1</v>
      </c>
      <c r="J106">
        <v>1344</v>
      </c>
    </row>
    <row r="107" spans="1:10" x14ac:dyDescent="0.25">
      <c r="A107" t="s">
        <v>168</v>
      </c>
      <c r="B107">
        <v>1311</v>
      </c>
      <c r="C107" t="s">
        <v>169</v>
      </c>
      <c r="D107" t="str">
        <f t="shared" si="1"/>
        <v>Medium</v>
      </c>
      <c r="E107">
        <v>1023</v>
      </c>
      <c r="F107" t="s">
        <v>16</v>
      </c>
      <c r="G107" t="s">
        <v>22</v>
      </c>
      <c r="H107" t="s">
        <v>170</v>
      </c>
      <c r="I107">
        <v>8</v>
      </c>
      <c r="J107">
        <v>1663</v>
      </c>
    </row>
    <row r="108" spans="1:10" x14ac:dyDescent="0.25">
      <c r="A108" t="s">
        <v>171</v>
      </c>
      <c r="B108">
        <v>569</v>
      </c>
      <c r="C108">
        <v>115</v>
      </c>
      <c r="D108" t="str">
        <f t="shared" si="1"/>
        <v>Medium</v>
      </c>
      <c r="E108">
        <v>418</v>
      </c>
      <c r="F108" t="s">
        <v>16</v>
      </c>
      <c r="G108" t="s">
        <v>22</v>
      </c>
      <c r="H108">
        <v>23</v>
      </c>
      <c r="I108">
        <v>6</v>
      </c>
      <c r="J108">
        <v>1121</v>
      </c>
    </row>
    <row r="109" spans="1:10" x14ac:dyDescent="0.25">
      <c r="A109" t="s">
        <v>172</v>
      </c>
      <c r="B109">
        <v>253</v>
      </c>
      <c r="C109">
        <v>29</v>
      </c>
      <c r="D109" t="str">
        <f t="shared" si="1"/>
        <v>Low</v>
      </c>
      <c r="E109">
        <v>220</v>
      </c>
      <c r="F109" t="s">
        <v>64</v>
      </c>
      <c r="G109" t="s">
        <v>39</v>
      </c>
      <c r="H109">
        <v>19.7</v>
      </c>
      <c r="I109">
        <v>3</v>
      </c>
      <c r="J109">
        <v>1348</v>
      </c>
    </row>
    <row r="110" spans="1:10" x14ac:dyDescent="0.25">
      <c r="A110" t="s">
        <v>173</v>
      </c>
      <c r="B110">
        <v>785</v>
      </c>
      <c r="C110">
        <v>147</v>
      </c>
      <c r="D110" t="str">
        <f t="shared" si="1"/>
        <v>Medium</v>
      </c>
      <c r="E110">
        <v>577</v>
      </c>
      <c r="F110" t="s">
        <v>16</v>
      </c>
      <c r="G110" t="s">
        <v>39</v>
      </c>
      <c r="H110">
        <v>7.1</v>
      </c>
      <c r="I110">
        <v>7</v>
      </c>
      <c r="J110">
        <v>966</v>
      </c>
    </row>
    <row r="111" spans="1:10" x14ac:dyDescent="0.25">
      <c r="A111" t="s">
        <v>174</v>
      </c>
      <c r="B111">
        <v>285</v>
      </c>
      <c r="C111">
        <v>36</v>
      </c>
      <c r="D111" t="str">
        <f t="shared" si="1"/>
        <v>Low</v>
      </c>
      <c r="E111">
        <v>248</v>
      </c>
      <c r="F111" t="s">
        <v>175</v>
      </c>
      <c r="G111" t="s">
        <v>14</v>
      </c>
      <c r="H111">
        <v>15.8</v>
      </c>
      <c r="I111">
        <v>3</v>
      </c>
      <c r="J111">
        <v>1165</v>
      </c>
    </row>
    <row r="112" spans="1:10" x14ac:dyDescent="0.25">
      <c r="A112" t="s">
        <v>176</v>
      </c>
      <c r="B112">
        <v>970</v>
      </c>
      <c r="C112">
        <v>70</v>
      </c>
      <c r="D112" t="str">
        <f t="shared" si="1"/>
        <v>High</v>
      </c>
      <c r="E112" t="s">
        <v>177</v>
      </c>
      <c r="F112" t="s">
        <v>99</v>
      </c>
      <c r="G112" t="s">
        <v>39</v>
      </c>
      <c r="H112">
        <v>18.600000000000001</v>
      </c>
      <c r="I112">
        <v>2</v>
      </c>
      <c r="J112">
        <v>1021</v>
      </c>
    </row>
    <row r="113" spans="1:10" x14ac:dyDescent="0.25">
      <c r="A113" t="s">
        <v>178</v>
      </c>
      <c r="B113">
        <v>319</v>
      </c>
      <c r="C113">
        <v>19</v>
      </c>
      <c r="D113" t="str">
        <f t="shared" si="1"/>
        <v>Low</v>
      </c>
      <c r="E113">
        <v>296</v>
      </c>
      <c r="F113" t="s">
        <v>139</v>
      </c>
      <c r="G113" t="s">
        <v>39</v>
      </c>
      <c r="H113">
        <v>2.7</v>
      </c>
      <c r="I113">
        <v>2</v>
      </c>
      <c r="J113">
        <v>801</v>
      </c>
    </row>
    <row r="114" spans="1:10" x14ac:dyDescent="0.25">
      <c r="A114" t="s">
        <v>179</v>
      </c>
      <c r="B114">
        <v>657</v>
      </c>
      <c r="C114">
        <v>89</v>
      </c>
      <c r="D114" t="str">
        <f t="shared" si="1"/>
        <v>High</v>
      </c>
      <c r="E114">
        <v>535</v>
      </c>
      <c r="F114" t="s">
        <v>139</v>
      </c>
      <c r="G114" t="s">
        <v>11</v>
      </c>
      <c r="H114">
        <v>9.5</v>
      </c>
      <c r="I114">
        <v>5</v>
      </c>
      <c r="J114">
        <v>1299</v>
      </c>
    </row>
    <row r="115" spans="1:10" x14ac:dyDescent="0.25">
      <c r="A115" t="s">
        <v>180</v>
      </c>
      <c r="B115">
        <v>649</v>
      </c>
      <c r="C115">
        <v>68</v>
      </c>
      <c r="D115" t="str">
        <f t="shared" si="1"/>
        <v>High</v>
      </c>
      <c r="E115">
        <v>577</v>
      </c>
      <c r="F115" t="s">
        <v>139</v>
      </c>
      <c r="G115" t="s">
        <v>39</v>
      </c>
      <c r="H115">
        <v>7.4</v>
      </c>
      <c r="I115">
        <v>3</v>
      </c>
      <c r="J115">
        <v>1244</v>
      </c>
    </row>
    <row r="116" spans="1:10" x14ac:dyDescent="0.25">
      <c r="A116" t="s">
        <v>181</v>
      </c>
      <c r="B116">
        <v>427</v>
      </c>
      <c r="C116">
        <v>64</v>
      </c>
      <c r="D116" t="str">
        <f t="shared" si="1"/>
        <v>High</v>
      </c>
      <c r="E116">
        <v>336</v>
      </c>
      <c r="F116" t="s">
        <v>13</v>
      </c>
      <c r="G116" t="s">
        <v>39</v>
      </c>
      <c r="H116" t="s">
        <v>182</v>
      </c>
      <c r="I116">
        <v>2</v>
      </c>
      <c r="J116">
        <v>1177</v>
      </c>
    </row>
    <row r="117" spans="1:10" x14ac:dyDescent="0.25">
      <c r="A117" t="s">
        <v>183</v>
      </c>
      <c r="B117">
        <v>279</v>
      </c>
      <c r="C117">
        <v>50</v>
      </c>
      <c r="D117" t="str">
        <f t="shared" si="1"/>
        <v>High</v>
      </c>
      <c r="E117">
        <v>207</v>
      </c>
      <c r="F117" t="s">
        <v>16</v>
      </c>
      <c r="G117" t="s">
        <v>32</v>
      </c>
      <c r="H117">
        <v>30.4</v>
      </c>
      <c r="I117">
        <v>2</v>
      </c>
      <c r="J117">
        <v>974</v>
      </c>
    </row>
    <row r="118" spans="1:10" x14ac:dyDescent="0.25">
      <c r="A118" t="s">
        <v>184</v>
      </c>
      <c r="B118">
        <v>497</v>
      </c>
      <c r="C118">
        <v>116</v>
      </c>
      <c r="D118" t="str">
        <f t="shared" si="1"/>
        <v>Medium</v>
      </c>
      <c r="E118">
        <v>373</v>
      </c>
      <c r="F118" t="s">
        <v>26</v>
      </c>
      <c r="G118" t="s">
        <v>185</v>
      </c>
      <c r="H118">
        <v>42</v>
      </c>
      <c r="I118">
        <v>1</v>
      </c>
      <c r="J118">
        <v>1236</v>
      </c>
    </row>
    <row r="119" spans="1:10" x14ac:dyDescent="0.25">
      <c r="A119" t="s">
        <v>186</v>
      </c>
      <c r="B119">
        <v>266</v>
      </c>
      <c r="C119">
        <v>14</v>
      </c>
      <c r="D119" t="str">
        <f t="shared" si="1"/>
        <v>Low</v>
      </c>
      <c r="E119">
        <v>234</v>
      </c>
      <c r="F119" t="s">
        <v>16</v>
      </c>
      <c r="G119" t="s">
        <v>39</v>
      </c>
      <c r="H119" t="s">
        <v>187</v>
      </c>
      <c r="I119">
        <v>2</v>
      </c>
      <c r="J119">
        <v>1043</v>
      </c>
    </row>
    <row r="120" spans="1:10" x14ac:dyDescent="0.25">
      <c r="A120" t="s">
        <v>188</v>
      </c>
      <c r="B120">
        <v>184</v>
      </c>
      <c r="C120">
        <v>33</v>
      </c>
      <c r="D120" t="str">
        <f t="shared" si="1"/>
        <v>Low</v>
      </c>
      <c r="E120">
        <v>144</v>
      </c>
      <c r="F120" t="s">
        <v>16</v>
      </c>
      <c r="G120" t="s">
        <v>29</v>
      </c>
      <c r="H120">
        <v>24.7</v>
      </c>
      <c r="I120">
        <v>6</v>
      </c>
      <c r="J120">
        <v>1450</v>
      </c>
    </row>
    <row r="121" spans="1:10" x14ac:dyDescent="0.25">
      <c r="A121" t="s">
        <v>189</v>
      </c>
      <c r="B121">
        <v>941</v>
      </c>
      <c r="C121">
        <v>102</v>
      </c>
      <c r="D121" t="str">
        <f t="shared" si="1"/>
        <v>Medium</v>
      </c>
      <c r="E121">
        <v>787</v>
      </c>
      <c r="F121" t="s">
        <v>123</v>
      </c>
      <c r="G121" t="s">
        <v>22</v>
      </c>
      <c r="H121">
        <v>8.9</v>
      </c>
      <c r="I121">
        <v>2</v>
      </c>
      <c r="J121">
        <v>1047</v>
      </c>
    </row>
    <row r="122" spans="1:10" x14ac:dyDescent="0.25">
      <c r="A122" t="s">
        <v>190</v>
      </c>
      <c r="B122">
        <v>937</v>
      </c>
      <c r="C122">
        <v>176</v>
      </c>
      <c r="D122" t="str">
        <f t="shared" si="1"/>
        <v>Medium</v>
      </c>
      <c r="E122">
        <v>754</v>
      </c>
      <c r="F122" t="s">
        <v>16</v>
      </c>
      <c r="G122" t="s">
        <v>22</v>
      </c>
      <c r="H122">
        <v>36.9</v>
      </c>
      <c r="J122">
        <v>1461</v>
      </c>
    </row>
    <row r="123" spans="1:10" x14ac:dyDescent="0.25">
      <c r="A123" t="s">
        <v>191</v>
      </c>
      <c r="B123" t="s">
        <v>192</v>
      </c>
      <c r="C123">
        <v>98</v>
      </c>
      <c r="D123" t="str">
        <f t="shared" si="1"/>
        <v>High</v>
      </c>
      <c r="E123">
        <v>464</v>
      </c>
      <c r="F123" t="s">
        <v>13</v>
      </c>
      <c r="G123" t="s">
        <v>11</v>
      </c>
      <c r="H123">
        <v>13.8</v>
      </c>
      <c r="I123">
        <v>1</v>
      </c>
      <c r="J123">
        <v>982</v>
      </c>
    </row>
    <row r="124" spans="1:10" x14ac:dyDescent="0.25">
      <c r="A124" t="s">
        <v>193</v>
      </c>
      <c r="B124">
        <v>660</v>
      </c>
      <c r="C124">
        <v>52</v>
      </c>
      <c r="D124" t="str">
        <f t="shared" si="1"/>
        <v>High</v>
      </c>
      <c r="E124">
        <v>601</v>
      </c>
      <c r="F124" t="s">
        <v>10</v>
      </c>
      <c r="G124" t="s">
        <v>20</v>
      </c>
      <c r="I124">
        <v>0</v>
      </c>
      <c r="J124">
        <v>1317</v>
      </c>
    </row>
    <row r="125" spans="1:10" x14ac:dyDescent="0.25">
      <c r="A125" t="s">
        <v>194</v>
      </c>
      <c r="B125">
        <v>580</v>
      </c>
      <c r="C125">
        <v>113</v>
      </c>
      <c r="D125" t="str">
        <f t="shared" si="1"/>
        <v>Medium</v>
      </c>
      <c r="E125">
        <v>443</v>
      </c>
      <c r="F125" t="s">
        <v>26</v>
      </c>
      <c r="G125" t="s">
        <v>11</v>
      </c>
      <c r="H125">
        <v>21.5</v>
      </c>
      <c r="I125">
        <v>5</v>
      </c>
      <c r="J125">
        <v>1277</v>
      </c>
    </row>
    <row r="126" spans="1:10" x14ac:dyDescent="0.25">
      <c r="A126" t="s">
        <v>195</v>
      </c>
      <c r="B126">
        <v>664</v>
      </c>
      <c r="C126">
        <v>51</v>
      </c>
      <c r="D126" t="str">
        <f t="shared" si="1"/>
        <v>High</v>
      </c>
      <c r="E126">
        <v>568</v>
      </c>
      <c r="F126" t="s">
        <v>16</v>
      </c>
      <c r="G126" t="s">
        <v>196</v>
      </c>
      <c r="H126">
        <v>12.6</v>
      </c>
      <c r="I126">
        <v>2</v>
      </c>
      <c r="J126">
        <v>1538</v>
      </c>
    </row>
    <row r="127" spans="1:10" x14ac:dyDescent="0.25">
      <c r="A127" t="s">
        <v>197</v>
      </c>
      <c r="B127">
        <v>411</v>
      </c>
      <c r="C127">
        <v>71</v>
      </c>
      <c r="D127" t="str">
        <f t="shared" si="1"/>
        <v>High</v>
      </c>
      <c r="E127">
        <v>340</v>
      </c>
      <c r="F127" t="s">
        <v>108</v>
      </c>
      <c r="G127" t="s">
        <v>22</v>
      </c>
      <c r="H127">
        <v>28.9</v>
      </c>
      <c r="I127">
        <v>2</v>
      </c>
      <c r="J127">
        <v>1624</v>
      </c>
    </row>
    <row r="128" spans="1:10" x14ac:dyDescent="0.25">
      <c r="A128" t="s">
        <v>198</v>
      </c>
      <c r="B128">
        <v>605</v>
      </c>
      <c r="C128" t="s">
        <v>199</v>
      </c>
      <c r="D128" t="str">
        <f t="shared" si="1"/>
        <v>Medium</v>
      </c>
      <c r="E128">
        <v>493</v>
      </c>
      <c r="F128" t="s">
        <v>139</v>
      </c>
      <c r="G128" t="s">
        <v>39</v>
      </c>
      <c r="H128">
        <v>41.8</v>
      </c>
      <c r="I128">
        <v>6</v>
      </c>
      <c r="J128">
        <v>868</v>
      </c>
    </row>
    <row r="129" spans="1:10" x14ac:dyDescent="0.25">
      <c r="A129" t="s">
        <v>200</v>
      </c>
      <c r="B129">
        <v>760</v>
      </c>
      <c r="C129">
        <v>107</v>
      </c>
      <c r="D129" t="str">
        <f t="shared" si="1"/>
        <v>Medium</v>
      </c>
      <c r="E129">
        <v>649</v>
      </c>
      <c r="F129" t="s">
        <v>16</v>
      </c>
      <c r="G129" t="s">
        <v>22</v>
      </c>
      <c r="H129">
        <v>19.899999999999999</v>
      </c>
      <c r="I129">
        <v>2</v>
      </c>
      <c r="J129">
        <v>1195</v>
      </c>
    </row>
    <row r="130" spans="1:10" x14ac:dyDescent="0.25">
      <c r="A130" t="s">
        <v>201</v>
      </c>
      <c r="B130">
        <v>486</v>
      </c>
      <c r="C130">
        <v>96</v>
      </c>
      <c r="D130" t="str">
        <f t="shared" si="1"/>
        <v>High</v>
      </c>
      <c r="E130">
        <v>387</v>
      </c>
      <c r="F130" t="s">
        <v>35</v>
      </c>
      <c r="G130" t="s">
        <v>17</v>
      </c>
      <c r="H130">
        <v>50.7</v>
      </c>
      <c r="I130">
        <v>3</v>
      </c>
      <c r="J130">
        <v>1159</v>
      </c>
    </row>
    <row r="131" spans="1:10" x14ac:dyDescent="0.25">
      <c r="A131" t="s">
        <v>202</v>
      </c>
      <c r="B131">
        <v>464</v>
      </c>
      <c r="C131">
        <v>38</v>
      </c>
      <c r="D131" t="str">
        <f t="shared" ref="D131:D151" si="2">IF(C131="","Missing",IF(C131&lt;50,"Low",IF(C131&gt;=100,"Medium","High")))</f>
        <v>Low</v>
      </c>
      <c r="E131">
        <v>422</v>
      </c>
      <c r="F131" t="s">
        <v>108</v>
      </c>
      <c r="G131" t="s">
        <v>29</v>
      </c>
      <c r="H131">
        <v>8.1</v>
      </c>
      <c r="I131">
        <v>1</v>
      </c>
      <c r="J131">
        <v>1151</v>
      </c>
    </row>
    <row r="132" spans="1:10" x14ac:dyDescent="0.25">
      <c r="A132" t="s">
        <v>203</v>
      </c>
      <c r="B132" t="s">
        <v>121</v>
      </c>
      <c r="C132">
        <v>81</v>
      </c>
      <c r="D132" t="str">
        <f t="shared" si="2"/>
        <v>High</v>
      </c>
      <c r="E132">
        <v>552</v>
      </c>
      <c r="F132" t="s">
        <v>26</v>
      </c>
      <c r="G132" t="s">
        <v>22</v>
      </c>
      <c r="H132">
        <v>4.8</v>
      </c>
      <c r="I132">
        <v>3</v>
      </c>
      <c r="J132">
        <v>1303</v>
      </c>
    </row>
    <row r="133" spans="1:10" x14ac:dyDescent="0.25">
      <c r="A133" t="s">
        <v>204</v>
      </c>
      <c r="B133">
        <v>417</v>
      </c>
      <c r="C133">
        <v>53</v>
      </c>
      <c r="D133" t="str">
        <f t="shared" si="2"/>
        <v>High</v>
      </c>
      <c r="E133">
        <v>331</v>
      </c>
      <c r="F133" t="s">
        <v>16</v>
      </c>
      <c r="G133" t="s">
        <v>39</v>
      </c>
      <c r="I133">
        <v>4</v>
      </c>
      <c r="J133">
        <v>1805</v>
      </c>
    </row>
    <row r="134" spans="1:10" x14ac:dyDescent="0.25">
      <c r="A134" t="s">
        <v>205</v>
      </c>
      <c r="B134">
        <v>187</v>
      </c>
      <c r="C134">
        <v>15</v>
      </c>
      <c r="D134" t="str">
        <f t="shared" si="2"/>
        <v>Low</v>
      </c>
      <c r="E134">
        <v>169</v>
      </c>
      <c r="F134" t="s">
        <v>123</v>
      </c>
      <c r="G134" t="s">
        <v>11</v>
      </c>
      <c r="H134">
        <v>14.3</v>
      </c>
      <c r="I134">
        <v>1</v>
      </c>
      <c r="J134">
        <v>1133</v>
      </c>
    </row>
    <row r="135" spans="1:10" x14ac:dyDescent="0.25">
      <c r="A135" t="s">
        <v>206</v>
      </c>
      <c r="B135">
        <v>623</v>
      </c>
      <c r="C135">
        <v>73</v>
      </c>
      <c r="D135" t="str">
        <f t="shared" si="2"/>
        <v>High</v>
      </c>
      <c r="E135">
        <v>518</v>
      </c>
      <c r="F135" t="s">
        <v>64</v>
      </c>
      <c r="G135" t="s">
        <v>207</v>
      </c>
      <c r="H135">
        <v>13.3</v>
      </c>
      <c r="I135">
        <v>5</v>
      </c>
      <c r="J135">
        <v>944</v>
      </c>
    </row>
    <row r="136" spans="1:10" x14ac:dyDescent="0.25">
      <c r="A136" t="s">
        <v>208</v>
      </c>
      <c r="B136">
        <v>510</v>
      </c>
      <c r="C136">
        <v>58</v>
      </c>
      <c r="D136" t="str">
        <f t="shared" si="2"/>
        <v>High</v>
      </c>
      <c r="E136">
        <v>412</v>
      </c>
      <c r="F136" t="s">
        <v>35</v>
      </c>
      <c r="G136" t="s">
        <v>11</v>
      </c>
      <c r="H136">
        <v>46.3</v>
      </c>
      <c r="I136">
        <v>1</v>
      </c>
      <c r="J136">
        <v>715</v>
      </c>
    </row>
    <row r="137" spans="1:10" x14ac:dyDescent="0.25">
      <c r="A137" t="s">
        <v>209</v>
      </c>
      <c r="B137">
        <v>379</v>
      </c>
      <c r="C137">
        <v>60</v>
      </c>
      <c r="D137" t="str">
        <f t="shared" si="2"/>
        <v>High</v>
      </c>
      <c r="E137">
        <v>318</v>
      </c>
      <c r="F137" t="s">
        <v>26</v>
      </c>
      <c r="G137" t="s">
        <v>22</v>
      </c>
      <c r="H137">
        <v>35.4</v>
      </c>
      <c r="I137">
        <v>2</v>
      </c>
      <c r="J137">
        <v>1057</v>
      </c>
    </row>
    <row r="138" spans="1:10" x14ac:dyDescent="0.25">
      <c r="A138" t="s">
        <v>210</v>
      </c>
      <c r="B138">
        <v>234</v>
      </c>
      <c r="C138">
        <v>43</v>
      </c>
      <c r="D138" t="str">
        <f t="shared" si="2"/>
        <v>Low</v>
      </c>
      <c r="E138">
        <v>185</v>
      </c>
      <c r="F138" t="s">
        <v>123</v>
      </c>
      <c r="G138" t="s">
        <v>14</v>
      </c>
      <c r="H138">
        <v>16.2</v>
      </c>
      <c r="I138">
        <v>7</v>
      </c>
      <c r="J138">
        <v>1389</v>
      </c>
    </row>
    <row r="139" spans="1:10" x14ac:dyDescent="0.25">
      <c r="A139" t="s">
        <v>211</v>
      </c>
      <c r="B139">
        <v>354</v>
      </c>
      <c r="C139">
        <v>51</v>
      </c>
      <c r="D139" t="str">
        <f t="shared" si="2"/>
        <v>High</v>
      </c>
      <c r="E139">
        <v>285</v>
      </c>
      <c r="F139" t="s">
        <v>16</v>
      </c>
      <c r="G139" t="s">
        <v>39</v>
      </c>
      <c r="H139">
        <v>11.6</v>
      </c>
      <c r="I139">
        <v>2</v>
      </c>
      <c r="J139">
        <v>1535</v>
      </c>
    </row>
    <row r="140" spans="1:10" x14ac:dyDescent="0.25">
      <c r="A140" t="s">
        <v>212</v>
      </c>
      <c r="B140">
        <v>483</v>
      </c>
      <c r="C140">
        <v>25</v>
      </c>
      <c r="D140" t="str">
        <f t="shared" si="2"/>
        <v>Low</v>
      </c>
      <c r="E140">
        <v>427</v>
      </c>
      <c r="F140" t="s">
        <v>26</v>
      </c>
      <c r="G140" t="s">
        <v>11</v>
      </c>
      <c r="H140">
        <v>10.9</v>
      </c>
      <c r="I140">
        <v>2</v>
      </c>
      <c r="J140">
        <v>1472</v>
      </c>
    </row>
    <row r="141" spans="1:10" x14ac:dyDescent="0.25">
      <c r="A141" t="s">
        <v>213</v>
      </c>
      <c r="C141">
        <v>66</v>
      </c>
      <c r="D141" t="str">
        <f t="shared" si="2"/>
        <v>High</v>
      </c>
      <c r="E141">
        <v>435</v>
      </c>
      <c r="F141" t="s">
        <v>35</v>
      </c>
      <c r="G141" t="s">
        <v>14</v>
      </c>
      <c r="H141">
        <v>15.7</v>
      </c>
      <c r="I141">
        <v>1</v>
      </c>
      <c r="J141">
        <v>1018</v>
      </c>
    </row>
    <row r="142" spans="1:10" x14ac:dyDescent="0.25">
      <c r="A142" t="s">
        <v>214</v>
      </c>
      <c r="B142">
        <v>659</v>
      </c>
      <c r="C142">
        <v>121</v>
      </c>
      <c r="D142" t="str">
        <f t="shared" si="2"/>
        <v>Medium</v>
      </c>
      <c r="E142">
        <v>508</v>
      </c>
      <c r="F142" t="s">
        <v>26</v>
      </c>
      <c r="G142" t="s">
        <v>11</v>
      </c>
      <c r="H142">
        <v>15.5</v>
      </c>
      <c r="I142">
        <v>4</v>
      </c>
      <c r="J142">
        <v>917</v>
      </c>
    </row>
    <row r="143" spans="1:10" x14ac:dyDescent="0.25">
      <c r="A143" t="s">
        <v>215</v>
      </c>
      <c r="B143">
        <v>130</v>
      </c>
      <c r="C143">
        <v>10</v>
      </c>
      <c r="D143" t="str">
        <f t="shared" si="2"/>
        <v>Low</v>
      </c>
      <c r="E143">
        <v>117</v>
      </c>
      <c r="F143" t="s">
        <v>35</v>
      </c>
      <c r="G143" t="s">
        <v>22</v>
      </c>
      <c r="H143" t="s">
        <v>216</v>
      </c>
      <c r="I143">
        <v>3</v>
      </c>
      <c r="J143">
        <v>1157</v>
      </c>
    </row>
    <row r="144" spans="1:10" x14ac:dyDescent="0.25">
      <c r="A144" t="s">
        <v>217</v>
      </c>
      <c r="B144">
        <v>334</v>
      </c>
      <c r="C144">
        <v>36</v>
      </c>
      <c r="D144" t="str">
        <f t="shared" si="2"/>
        <v>Low</v>
      </c>
      <c r="E144">
        <v>284</v>
      </c>
      <c r="F144" t="s">
        <v>26</v>
      </c>
      <c r="G144" t="s">
        <v>14</v>
      </c>
      <c r="H144">
        <v>6.6</v>
      </c>
      <c r="I144">
        <v>2</v>
      </c>
      <c r="J144">
        <v>1215</v>
      </c>
    </row>
    <row r="145" spans="1:10" x14ac:dyDescent="0.25">
      <c r="A145" t="s">
        <v>218</v>
      </c>
      <c r="B145">
        <v>648</v>
      </c>
      <c r="C145">
        <v>142</v>
      </c>
      <c r="D145" t="str">
        <f t="shared" si="2"/>
        <v>Medium</v>
      </c>
      <c r="E145" t="s">
        <v>129</v>
      </c>
      <c r="F145" t="s">
        <v>153</v>
      </c>
      <c r="G145" t="s">
        <v>17</v>
      </c>
      <c r="H145">
        <v>45.6</v>
      </c>
      <c r="I145">
        <v>5</v>
      </c>
      <c r="J145">
        <v>1165</v>
      </c>
    </row>
    <row r="146" spans="1:10" x14ac:dyDescent="0.25">
      <c r="A146" t="s">
        <v>219</v>
      </c>
      <c r="B146">
        <v>1232</v>
      </c>
      <c r="C146">
        <v>162</v>
      </c>
      <c r="D146" t="str">
        <f t="shared" si="2"/>
        <v>Medium</v>
      </c>
      <c r="E146">
        <v>1048</v>
      </c>
      <c r="F146" t="s">
        <v>123</v>
      </c>
      <c r="G146" t="s">
        <v>22</v>
      </c>
      <c r="H146">
        <v>16.2</v>
      </c>
      <c r="I146">
        <v>3</v>
      </c>
      <c r="J146">
        <v>1187</v>
      </c>
    </row>
    <row r="147" spans="1:10" x14ac:dyDescent="0.25">
      <c r="A147" t="s">
        <v>220</v>
      </c>
      <c r="B147">
        <v>1282</v>
      </c>
      <c r="C147">
        <v>191</v>
      </c>
      <c r="D147" t="str">
        <f t="shared" si="2"/>
        <v>Medium</v>
      </c>
      <c r="E147">
        <v>1051</v>
      </c>
      <c r="F147" t="s">
        <v>26</v>
      </c>
      <c r="G147" t="s">
        <v>11</v>
      </c>
      <c r="H147">
        <v>10.199999999999999</v>
      </c>
      <c r="I147">
        <v>4</v>
      </c>
      <c r="J147">
        <v>1272</v>
      </c>
    </row>
    <row r="148" spans="1:10" x14ac:dyDescent="0.25">
      <c r="A148" t="s">
        <v>221</v>
      </c>
      <c r="B148">
        <v>1552</v>
      </c>
      <c r="C148">
        <v>283</v>
      </c>
      <c r="D148" t="str">
        <f t="shared" si="2"/>
        <v>Medium</v>
      </c>
      <c r="E148">
        <v>1153</v>
      </c>
      <c r="F148" t="s">
        <v>16</v>
      </c>
      <c r="G148" t="s">
        <v>22</v>
      </c>
      <c r="H148">
        <v>15.1</v>
      </c>
      <c r="I148">
        <v>6</v>
      </c>
      <c r="J148">
        <v>933</v>
      </c>
    </row>
    <row r="149" spans="1:10" x14ac:dyDescent="0.25">
      <c r="A149" t="s">
        <v>222</v>
      </c>
      <c r="B149">
        <v>213</v>
      </c>
      <c r="C149">
        <v>29</v>
      </c>
      <c r="D149" t="str">
        <f t="shared" si="2"/>
        <v>Low</v>
      </c>
      <c r="E149">
        <v>167</v>
      </c>
      <c r="F149" t="s">
        <v>16</v>
      </c>
      <c r="G149" t="s">
        <v>20</v>
      </c>
      <c r="H149">
        <v>22.8</v>
      </c>
      <c r="I149">
        <v>1</v>
      </c>
      <c r="J149">
        <v>1402</v>
      </c>
    </row>
    <row r="150" spans="1:10" x14ac:dyDescent="0.25">
      <c r="A150" t="s">
        <v>223</v>
      </c>
      <c r="B150">
        <v>374</v>
      </c>
      <c r="C150">
        <v>51</v>
      </c>
      <c r="D150" t="str">
        <f t="shared" si="2"/>
        <v>High</v>
      </c>
      <c r="E150">
        <v>313</v>
      </c>
      <c r="F150" t="s">
        <v>26</v>
      </c>
      <c r="G150" t="s">
        <v>22</v>
      </c>
      <c r="H150" t="s">
        <v>224</v>
      </c>
      <c r="I150">
        <v>3</v>
      </c>
      <c r="J150">
        <v>1134</v>
      </c>
    </row>
    <row r="151" spans="1:10" x14ac:dyDescent="0.25">
      <c r="A151" t="s">
        <v>225</v>
      </c>
      <c r="B151">
        <v>456</v>
      </c>
      <c r="C151">
        <v>96</v>
      </c>
      <c r="D151" t="str">
        <f t="shared" si="2"/>
        <v>High</v>
      </c>
      <c r="E151">
        <v>356</v>
      </c>
      <c r="F151" t="s">
        <v>26</v>
      </c>
      <c r="G151" t="s">
        <v>11</v>
      </c>
      <c r="H151">
        <v>26.6</v>
      </c>
      <c r="I151">
        <v>5</v>
      </c>
      <c r="J151" t="s">
        <v>226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workbookViewId="0">
      <selection activeCell="H8" sqref="H8"/>
    </sheetView>
  </sheetViews>
  <sheetFormatPr defaultRowHeight="15" x14ac:dyDescent="0.25"/>
  <cols>
    <col min="1" max="1" width="22.28515625" customWidth="1"/>
    <col min="2" max="2" width="38.7109375" customWidth="1"/>
    <col min="5" max="5" width="14.5703125" customWidth="1"/>
    <col min="6" max="6" width="18.42578125" customWidth="1"/>
    <col min="7" max="7" width="22.28515625" customWidth="1"/>
    <col min="8" max="8" width="12.140625" customWidth="1"/>
  </cols>
  <sheetData>
    <row r="1" spans="1:8" x14ac:dyDescent="0.25">
      <c r="A1" t="s">
        <v>241</v>
      </c>
      <c r="B1" t="s">
        <v>244</v>
      </c>
      <c r="C1" t="s">
        <v>242</v>
      </c>
      <c r="E1" t="s">
        <v>253</v>
      </c>
      <c r="F1" t="s">
        <v>254</v>
      </c>
      <c r="G1" t="s">
        <v>256</v>
      </c>
      <c r="H1" t="s">
        <v>255</v>
      </c>
    </row>
    <row r="2" spans="1:8" x14ac:dyDescent="0.25">
      <c r="A2" t="s">
        <v>243</v>
      </c>
      <c r="B2">
        <f>COUNTA(Raw_Data!A2:A151)</f>
        <v>150</v>
      </c>
      <c r="C2">
        <v>150</v>
      </c>
      <c r="E2" t="s">
        <v>252</v>
      </c>
      <c r="F2">
        <f>COUNTBLANK(Raw_Data!B2:B151)</f>
        <v>3</v>
      </c>
      <c r="G2">
        <f>(B2-B4)</f>
        <v>11</v>
      </c>
      <c r="H2">
        <v>8</v>
      </c>
    </row>
    <row r="3" spans="1:8" x14ac:dyDescent="0.25">
      <c r="A3" t="s">
        <v>245</v>
      </c>
      <c r="B3">
        <f>COUNT(Raw_Data!A2:A151)</f>
        <v>0</v>
      </c>
      <c r="E3" t="s">
        <v>257</v>
      </c>
      <c r="F3">
        <f>COUNTBLANK(Raw_Data!C2:C151)</f>
        <v>5</v>
      </c>
      <c r="G3">
        <f>B2-B5</f>
        <v>14</v>
      </c>
      <c r="H3">
        <v>9</v>
      </c>
    </row>
    <row r="4" spans="1:8" x14ac:dyDescent="0.25">
      <c r="A4" t="s">
        <v>246</v>
      </c>
      <c r="B4">
        <f>COUNT(Raw_Data!B2:B151)</f>
        <v>139</v>
      </c>
      <c r="E4" t="s">
        <v>258</v>
      </c>
      <c r="F4">
        <f>COUNTBLANK(Raw_Data!H2:H151)</f>
        <v>4</v>
      </c>
      <c r="G4">
        <f>B2-B6</f>
        <v>13</v>
      </c>
      <c r="H4">
        <v>9</v>
      </c>
    </row>
    <row r="5" spans="1:8" x14ac:dyDescent="0.25">
      <c r="A5" t="s">
        <v>247</v>
      </c>
      <c r="B5">
        <f>COUNT(Raw_Data!C2:C151)</f>
        <v>136</v>
      </c>
      <c r="E5" t="s">
        <v>259</v>
      </c>
      <c r="F5">
        <f>COUNTBLANK(Raw_Data!E2:E151)</f>
        <v>1</v>
      </c>
      <c r="G5">
        <f>B2-B7</f>
        <v>3</v>
      </c>
      <c r="H5">
        <v>2</v>
      </c>
    </row>
    <row r="6" spans="1:8" x14ac:dyDescent="0.25">
      <c r="A6" t="s">
        <v>248</v>
      </c>
      <c r="B6">
        <f>COUNT(Raw_Data!H2:H151)</f>
        <v>137</v>
      </c>
      <c r="E6" t="s">
        <v>260</v>
      </c>
      <c r="F6">
        <f>COUNTBLANK(Raw_Data!I2:I151)</f>
        <v>2</v>
      </c>
      <c r="G6">
        <f>B2-B8</f>
        <v>3</v>
      </c>
      <c r="H6">
        <v>1</v>
      </c>
    </row>
    <row r="7" spans="1:8" x14ac:dyDescent="0.25">
      <c r="A7" t="s">
        <v>249</v>
      </c>
      <c r="B7">
        <f>COUNT(Raw_Data!E2:E151)</f>
        <v>147</v>
      </c>
      <c r="E7" t="s">
        <v>261</v>
      </c>
      <c r="F7">
        <f>COUNTBLANK(Raw_Data!J2:J151)</f>
        <v>3</v>
      </c>
      <c r="G7">
        <f>B2-B9</f>
        <v>12</v>
      </c>
      <c r="H7">
        <v>9</v>
      </c>
    </row>
    <row r="8" spans="1:8" x14ac:dyDescent="0.25">
      <c r="A8" t="s">
        <v>250</v>
      </c>
      <c r="B8">
        <f>COUNT(Raw_Data!I2:I151)</f>
        <v>147</v>
      </c>
    </row>
    <row r="9" spans="1:8" x14ac:dyDescent="0.25">
      <c r="A9" t="s">
        <v>251</v>
      </c>
      <c r="B9">
        <f>COUNT(Raw_Data!J2:J152)</f>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election activeCell="A2" sqref="A2"/>
    </sheetView>
  </sheetViews>
  <sheetFormatPr defaultRowHeight="15" x14ac:dyDescent="0.25"/>
  <cols>
    <col min="1" max="1" width="18.42578125" bestFit="1" customWidth="1"/>
    <col min="2" max="2" width="83.140625" bestFit="1" customWidth="1"/>
  </cols>
  <sheetData>
    <row r="1" spans="1:2" x14ac:dyDescent="0.25">
      <c r="A1" s="1" t="s">
        <v>227</v>
      </c>
      <c r="B1" s="1" t="s">
        <v>228</v>
      </c>
    </row>
    <row r="2" spans="1:2" x14ac:dyDescent="0.25">
      <c r="A2" t="s">
        <v>229</v>
      </c>
      <c r="B2" t="s">
        <v>230</v>
      </c>
    </row>
    <row r="3" spans="1:2" x14ac:dyDescent="0.25">
      <c r="A3" t="s">
        <v>231</v>
      </c>
      <c r="B3" t="s">
        <v>232</v>
      </c>
    </row>
    <row r="4" spans="1:2" x14ac:dyDescent="0.25">
      <c r="A4" t="s">
        <v>233</v>
      </c>
      <c r="B4" t="s">
        <v>234</v>
      </c>
    </row>
    <row r="5" spans="1:2" x14ac:dyDescent="0.25">
      <c r="A5" t="s">
        <v>235</v>
      </c>
      <c r="B5" t="s">
        <v>236</v>
      </c>
    </row>
    <row r="6" spans="1:2" x14ac:dyDescent="0.25">
      <c r="A6" t="s">
        <v>237</v>
      </c>
      <c r="B6" t="s">
        <v>238</v>
      </c>
    </row>
    <row r="7" spans="1:2" x14ac:dyDescent="0.25">
      <c r="A7" t="s">
        <v>239</v>
      </c>
      <c r="B7" t="s">
        <v>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Patter_Analysis</vt:lpstr>
      <vt:lpstr>Dashboard</vt:lpstr>
      <vt:lpstr>Clean_Data</vt:lpstr>
      <vt:lpstr>EDA_Statistics</vt:lpstr>
      <vt:lpstr>Raw_Data</vt:lpstr>
      <vt:lpstr>Data_profiling</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2026-08-31T05:43:17Z</dcterms:created>
  <dcterms:modified xsi:type="dcterms:W3CDTF">2026-09-24T13:44:28Z</dcterms:modified>
</cp:coreProperties>
</file>